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06132027\Nord universitet Dropbox\Pål Ulvedal\BFMGreatProject_2\Codes_pal\Oct2024\Data\"/>
    </mc:Choice>
  </mc:AlternateContent>
  <xr:revisionPtr revIDLastSave="0" documentId="13_ncr:1_{91E386BA-8527-43AD-88F1-CD0C1E19EA5B}" xr6:coauthVersionLast="47" xr6:coauthVersionMax="47" xr10:uidLastSave="{00000000-0000-0000-0000-000000000000}"/>
  <bookViews>
    <workbookView xWindow="1125" yWindow="1125" windowWidth="38700" windowHeight="15345" xr2:uid="{807FC98A-F372-4A76-9797-6E02435B62B7}"/>
  </bookViews>
  <sheets>
    <sheet name="quarterly" sheetId="1" r:id="rId1"/>
    <sheet name="monthly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1" l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" i="1"/>
  <c r="D3" i="2"/>
  <c r="E3" i="2"/>
  <c r="D4" i="2"/>
  <c r="E4" i="2"/>
  <c r="D5" i="2"/>
  <c r="E5" i="2"/>
  <c r="D6" i="2"/>
  <c r="E6" i="2"/>
  <c r="D7" i="2"/>
  <c r="E7" i="2"/>
  <c r="D8" i="2"/>
  <c r="E8" i="2"/>
  <c r="D9" i="2"/>
  <c r="E9" i="2"/>
  <c r="D10" i="2"/>
  <c r="E10" i="2"/>
  <c r="D11" i="2"/>
  <c r="E11" i="2"/>
  <c r="D12" i="2"/>
  <c r="E12" i="2"/>
  <c r="D13" i="2"/>
  <c r="E13" i="2"/>
  <c r="D14" i="2"/>
  <c r="E14" i="2"/>
  <c r="D15" i="2"/>
  <c r="E15" i="2"/>
  <c r="D16" i="2"/>
  <c r="E16" i="2"/>
  <c r="D17" i="2"/>
  <c r="E17" i="2"/>
  <c r="D18" i="2"/>
  <c r="E18" i="2"/>
  <c r="D19" i="2"/>
  <c r="E19" i="2"/>
  <c r="D20" i="2"/>
  <c r="E20" i="2"/>
  <c r="D21" i="2"/>
  <c r="E21" i="2"/>
  <c r="D22" i="2"/>
  <c r="E22" i="2"/>
  <c r="D23" i="2"/>
  <c r="E23" i="2"/>
  <c r="D24" i="2"/>
  <c r="E24" i="2"/>
  <c r="D25" i="2"/>
  <c r="E25" i="2"/>
  <c r="D26" i="2"/>
  <c r="E26" i="2"/>
  <c r="D27" i="2"/>
  <c r="E27" i="2"/>
  <c r="D28" i="2"/>
  <c r="E28" i="2"/>
  <c r="D29" i="2"/>
  <c r="E29" i="2"/>
  <c r="D30" i="2"/>
  <c r="E30" i="2"/>
  <c r="D31" i="2"/>
  <c r="E31" i="2"/>
  <c r="D32" i="2"/>
  <c r="E32" i="2"/>
  <c r="D33" i="2"/>
  <c r="E33" i="2"/>
  <c r="D34" i="2"/>
  <c r="E34" i="2"/>
  <c r="D35" i="2"/>
  <c r="E35" i="2"/>
  <c r="D36" i="2"/>
  <c r="E36" i="2"/>
  <c r="D37" i="2"/>
  <c r="E37" i="2"/>
  <c r="D38" i="2"/>
  <c r="E38" i="2"/>
  <c r="D39" i="2"/>
  <c r="E39" i="2"/>
  <c r="D40" i="2"/>
  <c r="E40" i="2"/>
  <c r="D41" i="2"/>
  <c r="E41" i="2"/>
  <c r="D42" i="2"/>
  <c r="E42" i="2"/>
  <c r="D43" i="2"/>
  <c r="E43" i="2"/>
  <c r="D44" i="2"/>
  <c r="E44" i="2"/>
  <c r="D45" i="2"/>
  <c r="E45" i="2"/>
  <c r="D46" i="2"/>
  <c r="E46" i="2"/>
  <c r="D47" i="2"/>
  <c r="E47" i="2"/>
  <c r="D48" i="2"/>
  <c r="E48" i="2"/>
  <c r="D49" i="2"/>
  <c r="E49" i="2"/>
  <c r="D50" i="2"/>
  <c r="E50" i="2"/>
  <c r="D51" i="2"/>
  <c r="E51" i="2"/>
  <c r="D52" i="2"/>
  <c r="E52" i="2"/>
  <c r="D53" i="2"/>
  <c r="E53" i="2"/>
  <c r="D54" i="2"/>
  <c r="E54" i="2"/>
  <c r="D55" i="2"/>
  <c r="E55" i="2"/>
  <c r="D56" i="2"/>
  <c r="E56" i="2"/>
  <c r="D57" i="2"/>
  <c r="E57" i="2"/>
  <c r="D58" i="2"/>
  <c r="E58" i="2"/>
  <c r="D59" i="2"/>
  <c r="E59" i="2"/>
  <c r="D60" i="2"/>
  <c r="E60" i="2"/>
  <c r="D61" i="2"/>
  <c r="E61" i="2"/>
  <c r="D62" i="2"/>
  <c r="E62" i="2"/>
  <c r="D63" i="2"/>
  <c r="E63" i="2"/>
  <c r="D64" i="2"/>
  <c r="E64" i="2"/>
  <c r="D65" i="2"/>
  <c r="E65" i="2"/>
  <c r="D66" i="2"/>
  <c r="E66" i="2"/>
  <c r="D67" i="2"/>
  <c r="E67" i="2"/>
  <c r="D68" i="2"/>
  <c r="E68" i="2"/>
  <c r="D69" i="2"/>
  <c r="E69" i="2"/>
  <c r="D70" i="2"/>
  <c r="E70" i="2"/>
  <c r="D71" i="2"/>
  <c r="E71" i="2"/>
  <c r="D72" i="2"/>
  <c r="E72" i="2"/>
  <c r="D73" i="2"/>
  <c r="E73" i="2"/>
  <c r="D74" i="2"/>
  <c r="E74" i="2"/>
  <c r="D75" i="2"/>
  <c r="E75" i="2"/>
  <c r="D76" i="2"/>
  <c r="E76" i="2"/>
  <c r="D77" i="2"/>
  <c r="E77" i="2"/>
  <c r="D78" i="2"/>
  <c r="E78" i="2"/>
  <c r="D79" i="2"/>
  <c r="E79" i="2"/>
  <c r="D80" i="2"/>
  <c r="E80" i="2"/>
  <c r="D81" i="2"/>
  <c r="E81" i="2"/>
  <c r="D82" i="2"/>
  <c r="E82" i="2"/>
  <c r="D83" i="2"/>
  <c r="E83" i="2"/>
  <c r="D84" i="2"/>
  <c r="E84" i="2"/>
  <c r="D85" i="2"/>
  <c r="E85" i="2"/>
  <c r="D86" i="2"/>
  <c r="E86" i="2"/>
  <c r="D87" i="2"/>
  <c r="E87" i="2"/>
  <c r="D88" i="2"/>
  <c r="E88" i="2"/>
  <c r="D89" i="2"/>
  <c r="E89" i="2"/>
  <c r="D90" i="2"/>
  <c r="E90" i="2"/>
  <c r="D91" i="2"/>
  <c r="E91" i="2"/>
  <c r="D92" i="2"/>
  <c r="E92" i="2"/>
  <c r="D93" i="2"/>
  <c r="E93" i="2"/>
  <c r="D94" i="2"/>
  <c r="E94" i="2"/>
  <c r="D95" i="2"/>
  <c r="E95" i="2"/>
  <c r="D96" i="2"/>
  <c r="E96" i="2"/>
  <c r="D97" i="2"/>
  <c r="E97" i="2"/>
  <c r="D98" i="2"/>
  <c r="E98" i="2"/>
  <c r="D99" i="2"/>
  <c r="E99" i="2"/>
  <c r="D100" i="2"/>
  <c r="E100" i="2"/>
  <c r="D101" i="2"/>
  <c r="E101" i="2"/>
  <c r="D102" i="2"/>
  <c r="E102" i="2"/>
  <c r="D103" i="2"/>
  <c r="E103" i="2"/>
  <c r="D104" i="2"/>
  <c r="E104" i="2"/>
  <c r="D105" i="2"/>
  <c r="E105" i="2"/>
  <c r="D106" i="2"/>
  <c r="E106" i="2"/>
  <c r="D107" i="2"/>
  <c r="E107" i="2"/>
  <c r="D108" i="2"/>
  <c r="E108" i="2"/>
  <c r="D109" i="2"/>
  <c r="E109" i="2"/>
  <c r="D110" i="2"/>
  <c r="E110" i="2"/>
  <c r="D111" i="2"/>
  <c r="E111" i="2"/>
  <c r="D112" i="2"/>
  <c r="E112" i="2"/>
  <c r="D113" i="2"/>
  <c r="E113" i="2"/>
  <c r="D114" i="2"/>
  <c r="E114" i="2"/>
  <c r="D115" i="2"/>
  <c r="E115" i="2"/>
  <c r="D116" i="2"/>
  <c r="E116" i="2"/>
  <c r="D117" i="2"/>
  <c r="E117" i="2"/>
  <c r="D118" i="2"/>
  <c r="E118" i="2"/>
  <c r="D119" i="2"/>
  <c r="E119" i="2"/>
  <c r="D120" i="2"/>
  <c r="E120" i="2"/>
  <c r="D121" i="2"/>
  <c r="E121" i="2"/>
  <c r="D122" i="2"/>
  <c r="E122" i="2"/>
  <c r="D123" i="2"/>
  <c r="E123" i="2"/>
  <c r="D124" i="2"/>
  <c r="E124" i="2"/>
  <c r="D125" i="2"/>
  <c r="E125" i="2"/>
  <c r="D126" i="2"/>
  <c r="E126" i="2"/>
  <c r="D127" i="2"/>
  <c r="E127" i="2"/>
  <c r="D128" i="2"/>
  <c r="E128" i="2"/>
  <c r="D129" i="2"/>
  <c r="E129" i="2"/>
  <c r="D130" i="2"/>
  <c r="E130" i="2"/>
  <c r="D131" i="2"/>
  <c r="E131" i="2"/>
  <c r="D132" i="2"/>
  <c r="E132" i="2"/>
  <c r="D133" i="2"/>
  <c r="E133" i="2"/>
  <c r="D134" i="2"/>
  <c r="E134" i="2"/>
  <c r="D135" i="2"/>
  <c r="E135" i="2"/>
  <c r="D136" i="2"/>
  <c r="E136" i="2"/>
  <c r="D137" i="2"/>
  <c r="E137" i="2"/>
  <c r="D138" i="2"/>
  <c r="E138" i="2"/>
  <c r="D139" i="2"/>
  <c r="E139" i="2"/>
  <c r="D140" i="2"/>
  <c r="E140" i="2"/>
  <c r="D141" i="2"/>
  <c r="E141" i="2"/>
  <c r="D142" i="2"/>
  <c r="E142" i="2"/>
  <c r="D143" i="2"/>
  <c r="E143" i="2"/>
  <c r="D144" i="2"/>
  <c r="E144" i="2"/>
  <c r="D145" i="2"/>
  <c r="E145" i="2"/>
  <c r="D146" i="2"/>
  <c r="E146" i="2"/>
  <c r="D147" i="2"/>
  <c r="E147" i="2"/>
  <c r="D148" i="2"/>
  <c r="E148" i="2"/>
  <c r="D149" i="2"/>
  <c r="E149" i="2"/>
  <c r="D150" i="2"/>
  <c r="E150" i="2"/>
  <c r="D151" i="2"/>
  <c r="E151" i="2"/>
  <c r="D152" i="2"/>
  <c r="E152" i="2"/>
  <c r="D153" i="2"/>
  <c r="E153" i="2"/>
  <c r="D154" i="2"/>
  <c r="E154" i="2"/>
  <c r="D155" i="2"/>
  <c r="E155" i="2"/>
  <c r="D156" i="2"/>
  <c r="E156" i="2"/>
  <c r="D157" i="2"/>
  <c r="E157" i="2"/>
  <c r="D158" i="2"/>
  <c r="E158" i="2"/>
  <c r="D159" i="2"/>
  <c r="E159" i="2"/>
  <c r="D160" i="2"/>
  <c r="E160" i="2"/>
  <c r="D161" i="2"/>
  <c r="E161" i="2"/>
  <c r="D162" i="2"/>
  <c r="E162" i="2"/>
  <c r="D163" i="2"/>
  <c r="E163" i="2"/>
  <c r="D164" i="2"/>
  <c r="E164" i="2"/>
  <c r="D165" i="2"/>
  <c r="E165" i="2"/>
  <c r="D166" i="2"/>
  <c r="E166" i="2"/>
  <c r="D167" i="2"/>
  <c r="E167" i="2"/>
  <c r="D168" i="2"/>
  <c r="E168" i="2"/>
  <c r="D169" i="2"/>
  <c r="E169" i="2"/>
  <c r="D170" i="2"/>
  <c r="E170" i="2"/>
  <c r="D171" i="2"/>
  <c r="E171" i="2"/>
  <c r="D172" i="2"/>
  <c r="E172" i="2"/>
  <c r="D173" i="2"/>
  <c r="E173" i="2"/>
  <c r="D174" i="2"/>
  <c r="E174" i="2"/>
  <c r="D175" i="2"/>
  <c r="E175" i="2"/>
  <c r="D176" i="2"/>
  <c r="E176" i="2"/>
  <c r="D177" i="2"/>
  <c r="E177" i="2"/>
  <c r="D178" i="2"/>
  <c r="E178" i="2"/>
  <c r="D179" i="2"/>
  <c r="E179" i="2"/>
  <c r="D180" i="2"/>
  <c r="E180" i="2"/>
  <c r="D181" i="2"/>
  <c r="E181" i="2"/>
  <c r="D182" i="2"/>
  <c r="E182" i="2"/>
  <c r="D183" i="2"/>
  <c r="E183" i="2"/>
  <c r="D184" i="2"/>
  <c r="E184" i="2"/>
  <c r="D185" i="2"/>
  <c r="E185" i="2"/>
  <c r="D186" i="2"/>
  <c r="E186" i="2"/>
  <c r="D187" i="2"/>
  <c r="E187" i="2"/>
  <c r="D188" i="2"/>
  <c r="E188" i="2"/>
  <c r="D189" i="2"/>
  <c r="E189" i="2"/>
  <c r="D190" i="2"/>
  <c r="E190" i="2"/>
  <c r="D191" i="2"/>
  <c r="E191" i="2"/>
  <c r="D192" i="2"/>
  <c r="E192" i="2"/>
  <c r="D193" i="2"/>
  <c r="E193" i="2"/>
  <c r="D194" i="2"/>
  <c r="E194" i="2"/>
  <c r="D195" i="2"/>
  <c r="E195" i="2"/>
  <c r="D196" i="2"/>
  <c r="E196" i="2"/>
  <c r="D197" i="2"/>
  <c r="E197" i="2"/>
  <c r="D198" i="2"/>
  <c r="E198" i="2"/>
  <c r="D199" i="2"/>
  <c r="E199" i="2"/>
  <c r="D200" i="2"/>
  <c r="E200" i="2"/>
  <c r="D201" i="2"/>
  <c r="E201" i="2"/>
  <c r="D202" i="2"/>
  <c r="E202" i="2"/>
  <c r="D203" i="2"/>
  <c r="E203" i="2"/>
  <c r="D204" i="2"/>
  <c r="E204" i="2"/>
  <c r="D205" i="2"/>
  <c r="E205" i="2"/>
  <c r="D206" i="2"/>
  <c r="E206" i="2"/>
  <c r="D207" i="2"/>
  <c r="E207" i="2"/>
  <c r="D208" i="2"/>
  <c r="E208" i="2"/>
  <c r="D209" i="2"/>
  <c r="E209" i="2"/>
  <c r="D210" i="2"/>
  <c r="E210" i="2"/>
  <c r="D211" i="2"/>
  <c r="E211" i="2"/>
  <c r="D212" i="2"/>
  <c r="E212" i="2"/>
  <c r="D213" i="2"/>
  <c r="E213" i="2"/>
  <c r="D214" i="2"/>
  <c r="E214" i="2"/>
  <c r="D215" i="2"/>
  <c r="E215" i="2"/>
  <c r="D216" i="2"/>
  <c r="E216" i="2"/>
  <c r="D217" i="2"/>
  <c r="E217" i="2"/>
  <c r="D218" i="2"/>
  <c r="E218" i="2"/>
  <c r="D219" i="2"/>
  <c r="E219" i="2"/>
  <c r="D220" i="2"/>
  <c r="E220" i="2"/>
  <c r="D221" i="2"/>
  <c r="E221" i="2"/>
  <c r="D222" i="2"/>
  <c r="E222" i="2"/>
  <c r="D223" i="2"/>
  <c r="E223" i="2"/>
  <c r="D224" i="2"/>
  <c r="E224" i="2"/>
  <c r="D225" i="2"/>
  <c r="E225" i="2"/>
  <c r="D226" i="2"/>
  <c r="E226" i="2"/>
  <c r="D227" i="2"/>
  <c r="E227" i="2"/>
  <c r="D228" i="2"/>
  <c r="E228" i="2"/>
  <c r="D229" i="2"/>
  <c r="E229" i="2"/>
  <c r="D230" i="2"/>
  <c r="E230" i="2"/>
  <c r="D231" i="2"/>
  <c r="E231" i="2"/>
  <c r="D232" i="2"/>
  <c r="E232" i="2"/>
  <c r="D233" i="2"/>
  <c r="E233" i="2"/>
  <c r="D234" i="2"/>
  <c r="E234" i="2"/>
  <c r="D235" i="2"/>
  <c r="E235" i="2"/>
  <c r="D236" i="2"/>
  <c r="E236" i="2"/>
  <c r="D237" i="2"/>
  <c r="E237" i="2"/>
  <c r="D238" i="2"/>
  <c r="E238" i="2"/>
  <c r="D239" i="2"/>
  <c r="E239" i="2"/>
  <c r="D240" i="2"/>
  <c r="E240" i="2"/>
  <c r="D241" i="2"/>
  <c r="E241" i="2"/>
  <c r="D242" i="2"/>
  <c r="E242" i="2"/>
  <c r="D243" i="2"/>
  <c r="E243" i="2"/>
  <c r="D244" i="2"/>
  <c r="E244" i="2"/>
  <c r="D245" i="2"/>
  <c r="E245" i="2"/>
  <c r="D246" i="2"/>
  <c r="E246" i="2"/>
  <c r="D247" i="2"/>
  <c r="E247" i="2"/>
  <c r="D248" i="2"/>
  <c r="E248" i="2"/>
  <c r="D249" i="2"/>
  <c r="E249" i="2"/>
  <c r="D250" i="2"/>
  <c r="E250" i="2"/>
  <c r="D251" i="2"/>
  <c r="E251" i="2"/>
  <c r="D252" i="2"/>
  <c r="E252" i="2"/>
  <c r="D253" i="2"/>
  <c r="E253" i="2"/>
  <c r="D254" i="2"/>
  <c r="E254" i="2"/>
  <c r="D255" i="2"/>
  <c r="E255" i="2"/>
  <c r="D256" i="2"/>
  <c r="E256" i="2"/>
  <c r="D257" i="2"/>
  <c r="E257" i="2"/>
  <c r="D258" i="2"/>
  <c r="E258" i="2"/>
  <c r="D259" i="2"/>
  <c r="E259" i="2"/>
  <c r="D260" i="2"/>
  <c r="E260" i="2"/>
  <c r="D261" i="2"/>
  <c r="E261" i="2"/>
  <c r="D262" i="2"/>
  <c r="E262" i="2"/>
  <c r="D263" i="2"/>
  <c r="E263" i="2"/>
  <c r="D264" i="2"/>
  <c r="E264" i="2"/>
  <c r="D265" i="2"/>
  <c r="E265" i="2"/>
  <c r="D266" i="2"/>
  <c r="E266" i="2"/>
  <c r="D267" i="2"/>
  <c r="E267" i="2"/>
  <c r="D268" i="2"/>
  <c r="E268" i="2"/>
  <c r="D269" i="2"/>
  <c r="E269" i="2"/>
  <c r="D270" i="2"/>
  <c r="E270" i="2"/>
  <c r="D271" i="2"/>
  <c r="E271" i="2"/>
  <c r="D272" i="2"/>
  <c r="E272" i="2"/>
  <c r="D273" i="2"/>
  <c r="E273" i="2"/>
  <c r="D274" i="2"/>
  <c r="E274" i="2"/>
  <c r="D275" i="2"/>
  <c r="E275" i="2"/>
  <c r="D276" i="2"/>
  <c r="E276" i="2"/>
  <c r="D277" i="2"/>
  <c r="E277" i="2"/>
  <c r="D278" i="2"/>
  <c r="E278" i="2"/>
  <c r="D279" i="2"/>
  <c r="E279" i="2"/>
  <c r="D280" i="2"/>
  <c r="E280" i="2"/>
  <c r="D281" i="2"/>
  <c r="E281" i="2"/>
  <c r="D282" i="2"/>
  <c r="E282" i="2"/>
  <c r="D283" i="2"/>
  <c r="E283" i="2"/>
  <c r="D284" i="2"/>
  <c r="E284" i="2"/>
  <c r="D285" i="2"/>
  <c r="E285" i="2"/>
  <c r="D286" i="2"/>
  <c r="E286" i="2"/>
  <c r="D287" i="2"/>
  <c r="E287" i="2"/>
  <c r="D288" i="2"/>
  <c r="E288" i="2"/>
  <c r="D289" i="2"/>
  <c r="E289" i="2"/>
  <c r="D290" i="2"/>
  <c r="E290" i="2"/>
  <c r="D291" i="2"/>
  <c r="E291" i="2"/>
  <c r="D292" i="2"/>
  <c r="E292" i="2"/>
  <c r="D293" i="2"/>
  <c r="E293" i="2"/>
  <c r="D294" i="2"/>
  <c r="E294" i="2"/>
  <c r="D295" i="2"/>
  <c r="E295" i="2"/>
  <c r="D296" i="2"/>
  <c r="E296" i="2"/>
  <c r="D297" i="2"/>
  <c r="E297" i="2"/>
  <c r="D298" i="2"/>
  <c r="E298" i="2"/>
  <c r="D299" i="2"/>
  <c r="E299" i="2"/>
  <c r="D300" i="2"/>
  <c r="E300" i="2"/>
  <c r="D301" i="2"/>
  <c r="E301" i="2"/>
  <c r="D302" i="2"/>
  <c r="E302" i="2"/>
  <c r="D303" i="2"/>
  <c r="E303" i="2"/>
  <c r="D304" i="2"/>
  <c r="E304" i="2"/>
  <c r="D305" i="2"/>
  <c r="E305" i="2"/>
  <c r="D306" i="2"/>
  <c r="E306" i="2"/>
  <c r="D307" i="2"/>
  <c r="E307" i="2"/>
  <c r="D308" i="2"/>
  <c r="E308" i="2"/>
  <c r="D309" i="2"/>
  <c r="E309" i="2"/>
  <c r="D310" i="2"/>
  <c r="E310" i="2"/>
  <c r="D311" i="2"/>
  <c r="E311" i="2"/>
  <c r="D312" i="2"/>
  <c r="E312" i="2"/>
  <c r="D313" i="2"/>
  <c r="E313" i="2"/>
  <c r="D314" i="2"/>
  <c r="E314" i="2"/>
  <c r="D315" i="2"/>
  <c r="E315" i="2"/>
  <c r="D316" i="2"/>
  <c r="E316" i="2"/>
  <c r="D317" i="2"/>
  <c r="E317" i="2"/>
  <c r="D318" i="2"/>
  <c r="E318" i="2"/>
  <c r="D319" i="2"/>
  <c r="E319" i="2"/>
  <c r="D320" i="2"/>
  <c r="E320" i="2"/>
  <c r="D321" i="2"/>
  <c r="E321" i="2"/>
  <c r="D322" i="2"/>
  <c r="E322" i="2"/>
  <c r="D323" i="2"/>
  <c r="E323" i="2"/>
  <c r="D324" i="2"/>
  <c r="E324" i="2"/>
  <c r="D325" i="2"/>
  <c r="E325" i="2"/>
  <c r="D326" i="2"/>
  <c r="E326" i="2"/>
  <c r="D327" i="2"/>
  <c r="E327" i="2"/>
  <c r="D328" i="2"/>
  <c r="E328" i="2"/>
  <c r="D329" i="2"/>
  <c r="E329" i="2"/>
  <c r="D330" i="2"/>
  <c r="E330" i="2"/>
  <c r="D331" i="2"/>
  <c r="E331" i="2"/>
  <c r="D332" i="2"/>
  <c r="E332" i="2"/>
  <c r="D333" i="2"/>
  <c r="E333" i="2"/>
  <c r="D334" i="2"/>
  <c r="E334" i="2"/>
  <c r="D335" i="2"/>
  <c r="E335" i="2"/>
  <c r="D336" i="2"/>
  <c r="E336" i="2"/>
  <c r="D337" i="2"/>
  <c r="E337" i="2"/>
  <c r="D338" i="2"/>
  <c r="E338" i="2"/>
  <c r="D339" i="2"/>
  <c r="E339" i="2"/>
  <c r="D340" i="2"/>
  <c r="E340" i="2"/>
  <c r="D341" i="2"/>
  <c r="E341" i="2"/>
  <c r="D342" i="2"/>
  <c r="E342" i="2"/>
  <c r="D343" i="2"/>
  <c r="E343" i="2"/>
  <c r="D344" i="2"/>
  <c r="E344" i="2"/>
  <c r="D345" i="2"/>
  <c r="E345" i="2"/>
  <c r="D346" i="2"/>
  <c r="E346" i="2"/>
  <c r="D347" i="2"/>
  <c r="E347" i="2"/>
  <c r="D348" i="2"/>
  <c r="E348" i="2"/>
  <c r="D349" i="2"/>
  <c r="E349" i="2"/>
  <c r="D350" i="2"/>
  <c r="E350" i="2"/>
  <c r="D351" i="2"/>
  <c r="E351" i="2"/>
  <c r="D352" i="2"/>
  <c r="E352" i="2"/>
  <c r="D353" i="2"/>
  <c r="E353" i="2"/>
  <c r="D354" i="2"/>
  <c r="E354" i="2"/>
  <c r="D355" i="2"/>
  <c r="E355" i="2"/>
  <c r="D356" i="2"/>
  <c r="E356" i="2"/>
  <c r="D357" i="2"/>
  <c r="E357" i="2"/>
  <c r="D358" i="2"/>
  <c r="E358" i="2"/>
  <c r="D359" i="2"/>
  <c r="E359" i="2"/>
  <c r="D360" i="2"/>
  <c r="E360" i="2"/>
  <c r="D361" i="2"/>
  <c r="E361" i="2"/>
  <c r="D362" i="2"/>
  <c r="E362" i="2"/>
  <c r="D363" i="2"/>
  <c r="E363" i="2"/>
  <c r="D364" i="2"/>
  <c r="E364" i="2"/>
  <c r="D365" i="2"/>
  <c r="E365" i="2"/>
  <c r="D366" i="2"/>
  <c r="E366" i="2"/>
  <c r="D367" i="2"/>
  <c r="E367" i="2"/>
  <c r="D368" i="2"/>
  <c r="E368" i="2"/>
  <c r="D369" i="2"/>
  <c r="E369" i="2"/>
  <c r="D370" i="2"/>
  <c r="E370" i="2"/>
  <c r="D371" i="2"/>
  <c r="E371" i="2"/>
  <c r="D372" i="2"/>
  <c r="E372" i="2"/>
  <c r="D373" i="2"/>
  <c r="E373" i="2"/>
  <c r="D374" i="2"/>
  <c r="E374" i="2"/>
  <c r="D375" i="2"/>
  <c r="E375" i="2"/>
  <c r="D376" i="2"/>
  <c r="E376" i="2"/>
  <c r="D377" i="2"/>
  <c r="E377" i="2"/>
  <c r="D378" i="2"/>
  <c r="E378" i="2"/>
  <c r="D379" i="2"/>
  <c r="E379" i="2"/>
  <c r="D380" i="2"/>
  <c r="E380" i="2"/>
  <c r="D381" i="2"/>
  <c r="E381" i="2"/>
  <c r="D382" i="2"/>
  <c r="E382" i="2"/>
  <c r="D383" i="2"/>
  <c r="E383" i="2"/>
  <c r="D384" i="2"/>
  <c r="E384" i="2"/>
  <c r="D385" i="2"/>
  <c r="E385" i="2"/>
  <c r="D386" i="2"/>
  <c r="E386" i="2"/>
  <c r="D387" i="2"/>
  <c r="E387" i="2"/>
  <c r="D388" i="2"/>
  <c r="E388" i="2"/>
  <c r="D389" i="2"/>
  <c r="E389" i="2"/>
  <c r="D390" i="2"/>
  <c r="E390" i="2"/>
  <c r="D391" i="2"/>
  <c r="E391" i="2"/>
  <c r="D392" i="2"/>
  <c r="E392" i="2"/>
  <c r="D393" i="2"/>
  <c r="E393" i="2"/>
  <c r="D394" i="2"/>
  <c r="E394" i="2"/>
  <c r="D395" i="2"/>
  <c r="E395" i="2"/>
  <c r="D396" i="2"/>
  <c r="E396" i="2"/>
  <c r="D397" i="2"/>
  <c r="E397" i="2"/>
  <c r="D398" i="2"/>
  <c r="E398" i="2"/>
  <c r="D399" i="2"/>
  <c r="E399" i="2"/>
  <c r="D400" i="2"/>
  <c r="E400" i="2"/>
  <c r="D401" i="2"/>
  <c r="E401" i="2"/>
  <c r="D402" i="2"/>
  <c r="E402" i="2"/>
  <c r="D403" i="2"/>
  <c r="E403" i="2"/>
  <c r="D404" i="2"/>
  <c r="E404" i="2"/>
  <c r="D405" i="2"/>
  <c r="E405" i="2"/>
  <c r="D406" i="2"/>
  <c r="E406" i="2"/>
  <c r="D407" i="2"/>
  <c r="E407" i="2"/>
  <c r="D408" i="2"/>
  <c r="E408" i="2"/>
  <c r="D409" i="2"/>
  <c r="E409" i="2"/>
  <c r="D410" i="2"/>
  <c r="E410" i="2"/>
  <c r="D411" i="2"/>
  <c r="E411" i="2"/>
  <c r="D412" i="2"/>
  <c r="E412" i="2"/>
  <c r="D413" i="2"/>
  <c r="E413" i="2"/>
  <c r="D414" i="2"/>
  <c r="E414" i="2"/>
  <c r="D415" i="2"/>
  <c r="E415" i="2"/>
  <c r="D416" i="2"/>
  <c r="E416" i="2"/>
  <c r="D417" i="2"/>
  <c r="E417" i="2"/>
  <c r="D418" i="2"/>
  <c r="E418" i="2"/>
  <c r="D419" i="2"/>
  <c r="E419" i="2"/>
  <c r="D420" i="2"/>
  <c r="E420" i="2"/>
  <c r="D421" i="2"/>
  <c r="E421" i="2"/>
  <c r="D422" i="2"/>
  <c r="E422" i="2"/>
  <c r="D423" i="2"/>
  <c r="E423" i="2"/>
  <c r="D424" i="2"/>
  <c r="E424" i="2"/>
  <c r="D425" i="2"/>
  <c r="E425" i="2"/>
  <c r="D426" i="2"/>
  <c r="E426" i="2"/>
  <c r="D427" i="2"/>
  <c r="E427" i="2"/>
  <c r="D428" i="2"/>
  <c r="E428" i="2"/>
  <c r="D429" i="2"/>
  <c r="E429" i="2"/>
  <c r="D430" i="2"/>
  <c r="E430" i="2"/>
  <c r="D431" i="2"/>
  <c r="E431" i="2"/>
  <c r="D432" i="2"/>
  <c r="E432" i="2"/>
  <c r="D433" i="2"/>
  <c r="E433" i="2"/>
  <c r="D434" i="2"/>
  <c r="E434" i="2"/>
  <c r="D435" i="2"/>
  <c r="E435" i="2"/>
  <c r="D436" i="2"/>
  <c r="E436" i="2"/>
  <c r="D437" i="2"/>
  <c r="E437" i="2"/>
  <c r="D438" i="2"/>
  <c r="E438" i="2"/>
  <c r="D439" i="2"/>
  <c r="E439" i="2"/>
  <c r="D440" i="2"/>
  <c r="E440" i="2"/>
  <c r="D441" i="2"/>
  <c r="E441" i="2"/>
  <c r="D442" i="2"/>
  <c r="E442" i="2"/>
  <c r="D443" i="2"/>
  <c r="E443" i="2"/>
  <c r="D444" i="2"/>
  <c r="E444" i="2"/>
  <c r="D445" i="2"/>
  <c r="E445" i="2"/>
  <c r="D446" i="2"/>
  <c r="E446" i="2"/>
  <c r="D447" i="2"/>
  <c r="E447" i="2"/>
  <c r="D448" i="2"/>
  <c r="E448" i="2"/>
  <c r="D449" i="2"/>
  <c r="E449" i="2"/>
  <c r="D450" i="2"/>
  <c r="E450" i="2"/>
  <c r="D451" i="2"/>
  <c r="E451" i="2"/>
  <c r="D452" i="2"/>
  <c r="E452" i="2"/>
  <c r="D453" i="2"/>
  <c r="E453" i="2"/>
  <c r="D454" i="2"/>
  <c r="E454" i="2"/>
  <c r="D455" i="2"/>
  <c r="E455" i="2"/>
  <c r="D456" i="2"/>
  <c r="E456" i="2"/>
  <c r="D457" i="2"/>
  <c r="E457" i="2"/>
  <c r="D458" i="2"/>
  <c r="E458" i="2"/>
  <c r="D459" i="2"/>
  <c r="E459" i="2"/>
  <c r="D460" i="2"/>
  <c r="E460" i="2"/>
  <c r="D461" i="2"/>
  <c r="E461" i="2"/>
  <c r="D462" i="2"/>
  <c r="E462" i="2"/>
  <c r="D463" i="2"/>
  <c r="E463" i="2"/>
  <c r="D464" i="2"/>
  <c r="E464" i="2"/>
  <c r="D465" i="2"/>
  <c r="E465" i="2"/>
  <c r="D466" i="2"/>
  <c r="E466" i="2"/>
  <c r="D467" i="2"/>
  <c r="E467" i="2"/>
  <c r="D468" i="2"/>
  <c r="E468" i="2"/>
  <c r="D469" i="2"/>
  <c r="E469" i="2"/>
  <c r="D470" i="2"/>
  <c r="E470" i="2"/>
  <c r="D471" i="2"/>
  <c r="E471" i="2"/>
  <c r="D472" i="2"/>
  <c r="E472" i="2"/>
  <c r="D473" i="2"/>
  <c r="E473" i="2"/>
  <c r="D474" i="2"/>
  <c r="E474" i="2"/>
  <c r="D475" i="2"/>
  <c r="E475" i="2"/>
  <c r="D476" i="2"/>
  <c r="E476" i="2"/>
  <c r="D477" i="2"/>
  <c r="E477" i="2"/>
  <c r="D478" i="2"/>
  <c r="E478" i="2"/>
  <c r="D479" i="2"/>
  <c r="E479" i="2"/>
  <c r="D480" i="2"/>
  <c r="E480" i="2"/>
  <c r="D481" i="2"/>
  <c r="E481" i="2"/>
  <c r="D482" i="2"/>
  <c r="E482" i="2"/>
  <c r="D483" i="2"/>
  <c r="E483" i="2"/>
  <c r="D484" i="2"/>
  <c r="E484" i="2"/>
  <c r="D485" i="2"/>
  <c r="E485" i="2"/>
  <c r="D486" i="2"/>
  <c r="E486" i="2"/>
  <c r="D487" i="2"/>
  <c r="E487" i="2"/>
  <c r="D488" i="2"/>
  <c r="E488" i="2"/>
  <c r="D489" i="2"/>
  <c r="E489" i="2"/>
  <c r="D490" i="2"/>
  <c r="E490" i="2"/>
  <c r="D491" i="2"/>
  <c r="E491" i="2"/>
  <c r="D492" i="2"/>
  <c r="E492" i="2"/>
  <c r="D493" i="2"/>
  <c r="E493" i="2"/>
  <c r="D494" i="2"/>
  <c r="E494" i="2"/>
  <c r="D495" i="2"/>
  <c r="E495" i="2"/>
  <c r="D496" i="2"/>
  <c r="E496" i="2"/>
  <c r="D497" i="2"/>
  <c r="E497" i="2"/>
  <c r="D498" i="2"/>
  <c r="E498" i="2"/>
  <c r="D499" i="2"/>
  <c r="E499" i="2"/>
  <c r="D500" i="2"/>
  <c r="E500" i="2"/>
  <c r="D501" i="2"/>
  <c r="E501" i="2"/>
  <c r="D502" i="2"/>
  <c r="E502" i="2"/>
  <c r="D503" i="2"/>
  <c r="E503" i="2"/>
  <c r="D504" i="2"/>
  <c r="E504" i="2"/>
  <c r="D505" i="2"/>
  <c r="E505" i="2"/>
  <c r="D506" i="2"/>
  <c r="E506" i="2"/>
  <c r="D507" i="2"/>
  <c r="E507" i="2"/>
  <c r="D508" i="2"/>
  <c r="E508" i="2"/>
  <c r="D509" i="2"/>
  <c r="E509" i="2"/>
  <c r="D510" i="2"/>
  <c r="E510" i="2"/>
  <c r="D511" i="2"/>
  <c r="E511" i="2"/>
  <c r="D512" i="2"/>
  <c r="E512" i="2"/>
  <c r="D513" i="2"/>
  <c r="E513" i="2"/>
  <c r="D514" i="2"/>
  <c r="E514" i="2"/>
  <c r="D515" i="2"/>
  <c r="E515" i="2"/>
  <c r="D516" i="2"/>
  <c r="E516" i="2"/>
  <c r="D517" i="2"/>
  <c r="E517" i="2"/>
  <c r="D518" i="2"/>
  <c r="E518" i="2"/>
  <c r="D519" i="2"/>
  <c r="E519" i="2"/>
  <c r="D520" i="2"/>
  <c r="E520" i="2"/>
  <c r="D521" i="2"/>
  <c r="E521" i="2"/>
  <c r="D522" i="2"/>
  <c r="E522" i="2"/>
  <c r="D523" i="2"/>
  <c r="E523" i="2"/>
  <c r="D524" i="2"/>
  <c r="E524" i="2"/>
  <c r="D525" i="2"/>
  <c r="E525" i="2"/>
  <c r="D526" i="2"/>
  <c r="E526" i="2"/>
  <c r="D527" i="2"/>
  <c r="E527" i="2"/>
  <c r="D528" i="2"/>
  <c r="E528" i="2"/>
  <c r="D529" i="2"/>
  <c r="E529" i="2"/>
  <c r="D530" i="2"/>
  <c r="E530" i="2"/>
  <c r="D531" i="2"/>
  <c r="E531" i="2"/>
  <c r="D532" i="2"/>
  <c r="E532" i="2"/>
  <c r="D533" i="2"/>
  <c r="E533" i="2"/>
  <c r="D534" i="2"/>
  <c r="E534" i="2"/>
  <c r="D535" i="2"/>
  <c r="E535" i="2"/>
  <c r="D536" i="2"/>
  <c r="E536" i="2"/>
  <c r="D537" i="2"/>
  <c r="E537" i="2"/>
  <c r="D538" i="2"/>
  <c r="E538" i="2"/>
  <c r="D539" i="2"/>
  <c r="E539" i="2"/>
  <c r="D540" i="2"/>
  <c r="E540" i="2"/>
  <c r="D541" i="2"/>
  <c r="E541" i="2"/>
  <c r="D542" i="2"/>
  <c r="E542" i="2"/>
  <c r="D543" i="2"/>
  <c r="E543" i="2"/>
  <c r="D544" i="2"/>
  <c r="E544" i="2"/>
  <c r="D545" i="2"/>
  <c r="E545" i="2"/>
  <c r="D546" i="2"/>
  <c r="E546" i="2"/>
  <c r="D547" i="2"/>
  <c r="E547" i="2"/>
  <c r="D548" i="2"/>
  <c r="E548" i="2"/>
  <c r="D549" i="2"/>
  <c r="E549" i="2"/>
  <c r="D550" i="2"/>
  <c r="E550" i="2"/>
  <c r="D551" i="2"/>
  <c r="E551" i="2"/>
  <c r="D552" i="2"/>
  <c r="E552" i="2"/>
  <c r="D553" i="2"/>
  <c r="E553" i="2"/>
  <c r="D554" i="2"/>
  <c r="E554" i="2"/>
  <c r="D555" i="2"/>
  <c r="E555" i="2"/>
  <c r="D556" i="2"/>
  <c r="E556" i="2"/>
  <c r="D557" i="2"/>
  <c r="E557" i="2"/>
  <c r="D558" i="2"/>
  <c r="E558" i="2"/>
  <c r="D559" i="2"/>
  <c r="E559" i="2"/>
  <c r="D560" i="2"/>
  <c r="E560" i="2"/>
  <c r="D561" i="2"/>
  <c r="E561" i="2"/>
  <c r="D562" i="2"/>
  <c r="E562" i="2"/>
  <c r="D563" i="2"/>
  <c r="E563" i="2"/>
  <c r="D564" i="2"/>
  <c r="E564" i="2"/>
  <c r="D565" i="2"/>
  <c r="E565" i="2"/>
  <c r="D566" i="2"/>
  <c r="E566" i="2"/>
  <c r="D567" i="2"/>
  <c r="E567" i="2"/>
  <c r="D568" i="2"/>
  <c r="E568" i="2"/>
  <c r="D569" i="2"/>
  <c r="E569" i="2"/>
  <c r="D570" i="2"/>
  <c r="E570" i="2"/>
  <c r="D571" i="2"/>
  <c r="E571" i="2"/>
  <c r="D572" i="2"/>
  <c r="E572" i="2"/>
  <c r="D573" i="2"/>
  <c r="E573" i="2"/>
  <c r="D574" i="2"/>
  <c r="E574" i="2"/>
  <c r="D575" i="2"/>
  <c r="E575" i="2"/>
  <c r="D576" i="2"/>
  <c r="E576" i="2"/>
  <c r="D577" i="2"/>
  <c r="E577" i="2"/>
  <c r="D578" i="2"/>
  <c r="E578" i="2"/>
  <c r="D579" i="2"/>
  <c r="E579" i="2"/>
  <c r="D580" i="2"/>
  <c r="E580" i="2"/>
  <c r="D581" i="2"/>
  <c r="E581" i="2"/>
  <c r="D582" i="2"/>
  <c r="E582" i="2"/>
  <c r="D583" i="2"/>
  <c r="E583" i="2"/>
  <c r="D584" i="2"/>
  <c r="E584" i="2"/>
  <c r="D585" i="2"/>
  <c r="E585" i="2"/>
  <c r="D586" i="2"/>
  <c r="E586" i="2"/>
  <c r="D587" i="2"/>
  <c r="E587" i="2"/>
  <c r="D588" i="2"/>
  <c r="E588" i="2"/>
  <c r="D589" i="2"/>
  <c r="E589" i="2"/>
  <c r="D590" i="2"/>
  <c r="E590" i="2"/>
  <c r="D591" i="2"/>
  <c r="E591" i="2"/>
  <c r="D592" i="2"/>
  <c r="E592" i="2"/>
  <c r="D593" i="2"/>
  <c r="E593" i="2"/>
  <c r="D594" i="2"/>
  <c r="E594" i="2"/>
  <c r="D595" i="2"/>
  <c r="E595" i="2"/>
  <c r="D596" i="2"/>
  <c r="E596" i="2"/>
  <c r="D597" i="2"/>
  <c r="E597" i="2"/>
  <c r="D598" i="2"/>
  <c r="E598" i="2"/>
  <c r="D599" i="2"/>
  <c r="E599" i="2"/>
  <c r="D600" i="2"/>
  <c r="E600" i="2"/>
  <c r="D601" i="2"/>
  <c r="E601" i="2"/>
  <c r="D602" i="2"/>
  <c r="E602" i="2"/>
  <c r="D603" i="2"/>
  <c r="E603" i="2"/>
  <c r="D604" i="2"/>
  <c r="E604" i="2"/>
  <c r="D605" i="2"/>
  <c r="E605" i="2"/>
  <c r="D606" i="2"/>
  <c r="E606" i="2"/>
  <c r="D607" i="2"/>
  <c r="E607" i="2"/>
  <c r="D608" i="2"/>
  <c r="E608" i="2"/>
  <c r="D609" i="2"/>
  <c r="E609" i="2"/>
  <c r="D610" i="2"/>
  <c r="E610" i="2"/>
  <c r="D611" i="2"/>
  <c r="E611" i="2"/>
  <c r="D612" i="2"/>
  <c r="E612" i="2"/>
  <c r="D613" i="2"/>
  <c r="E613" i="2"/>
  <c r="D614" i="2"/>
  <c r="E614" i="2"/>
  <c r="D615" i="2"/>
  <c r="E615" i="2"/>
  <c r="D616" i="2"/>
  <c r="E616" i="2"/>
  <c r="D617" i="2"/>
  <c r="E617" i="2"/>
  <c r="D618" i="2"/>
  <c r="E618" i="2"/>
  <c r="D619" i="2"/>
  <c r="E619" i="2"/>
  <c r="D620" i="2"/>
  <c r="E620" i="2"/>
  <c r="D621" i="2"/>
  <c r="E621" i="2"/>
  <c r="D622" i="2"/>
  <c r="E622" i="2"/>
  <c r="D623" i="2"/>
  <c r="E623" i="2"/>
  <c r="D624" i="2"/>
  <c r="E624" i="2"/>
  <c r="D625" i="2"/>
  <c r="E625" i="2"/>
  <c r="D626" i="2"/>
  <c r="E626" i="2"/>
  <c r="D627" i="2"/>
  <c r="E627" i="2"/>
  <c r="D628" i="2"/>
  <c r="E628" i="2"/>
  <c r="D629" i="2"/>
  <c r="E629" i="2"/>
  <c r="D630" i="2"/>
  <c r="E630" i="2"/>
  <c r="D631" i="2"/>
  <c r="E631" i="2"/>
  <c r="D632" i="2"/>
  <c r="E632" i="2"/>
  <c r="D633" i="2"/>
  <c r="E633" i="2"/>
  <c r="D634" i="2"/>
  <c r="E634" i="2"/>
  <c r="D635" i="2"/>
  <c r="E635" i="2"/>
  <c r="D636" i="2"/>
  <c r="E636" i="2"/>
  <c r="D637" i="2"/>
  <c r="E637" i="2"/>
  <c r="D638" i="2"/>
  <c r="E638" i="2"/>
  <c r="D639" i="2"/>
  <c r="E639" i="2"/>
  <c r="D640" i="2"/>
  <c r="E640" i="2"/>
  <c r="D641" i="2"/>
  <c r="E641" i="2"/>
  <c r="D642" i="2"/>
  <c r="E642" i="2"/>
  <c r="D643" i="2"/>
  <c r="E643" i="2"/>
  <c r="D644" i="2"/>
  <c r="E644" i="2"/>
  <c r="D645" i="2"/>
  <c r="E645" i="2"/>
  <c r="D646" i="2"/>
  <c r="E646" i="2"/>
  <c r="D647" i="2"/>
  <c r="E647" i="2"/>
  <c r="D648" i="2"/>
  <c r="E648" i="2"/>
  <c r="D649" i="2"/>
  <c r="E649" i="2"/>
  <c r="D650" i="2"/>
  <c r="E650" i="2"/>
  <c r="D651" i="2"/>
  <c r="E651" i="2"/>
  <c r="D652" i="2"/>
  <c r="E652" i="2"/>
  <c r="D653" i="2"/>
  <c r="E653" i="2"/>
  <c r="D654" i="2"/>
  <c r="E654" i="2"/>
  <c r="D655" i="2"/>
  <c r="E655" i="2"/>
  <c r="D656" i="2"/>
  <c r="E656" i="2"/>
  <c r="D657" i="2"/>
  <c r="E657" i="2"/>
  <c r="D658" i="2"/>
  <c r="E658" i="2"/>
  <c r="D659" i="2"/>
  <c r="E659" i="2"/>
  <c r="D660" i="2"/>
  <c r="E660" i="2"/>
  <c r="D661" i="2"/>
  <c r="E661" i="2"/>
  <c r="D662" i="2"/>
  <c r="E662" i="2"/>
  <c r="D663" i="2"/>
  <c r="E663" i="2"/>
  <c r="D664" i="2"/>
  <c r="E664" i="2"/>
  <c r="D665" i="2"/>
  <c r="E665" i="2"/>
  <c r="D666" i="2"/>
  <c r="E666" i="2"/>
  <c r="D667" i="2"/>
  <c r="E667" i="2"/>
  <c r="D668" i="2"/>
  <c r="E668" i="2"/>
  <c r="D669" i="2"/>
  <c r="E669" i="2"/>
  <c r="D670" i="2"/>
  <c r="E670" i="2"/>
  <c r="D671" i="2"/>
  <c r="E671" i="2"/>
  <c r="D672" i="2"/>
  <c r="E672" i="2"/>
  <c r="D673" i="2"/>
  <c r="E673" i="2"/>
  <c r="D674" i="2"/>
  <c r="E674" i="2"/>
  <c r="D675" i="2"/>
  <c r="E675" i="2"/>
  <c r="D676" i="2"/>
  <c r="E676" i="2"/>
  <c r="D677" i="2"/>
  <c r="E677" i="2"/>
  <c r="D678" i="2"/>
  <c r="E678" i="2"/>
  <c r="D679" i="2"/>
  <c r="E679" i="2"/>
  <c r="D680" i="2"/>
  <c r="E680" i="2"/>
  <c r="D681" i="2"/>
  <c r="E681" i="2"/>
  <c r="D682" i="2"/>
  <c r="E682" i="2"/>
  <c r="D683" i="2"/>
  <c r="E683" i="2"/>
  <c r="D684" i="2"/>
  <c r="E684" i="2"/>
  <c r="D685" i="2"/>
  <c r="E685" i="2"/>
  <c r="D686" i="2"/>
  <c r="E686" i="2"/>
  <c r="D687" i="2"/>
  <c r="E687" i="2"/>
  <c r="D688" i="2"/>
  <c r="E688" i="2"/>
  <c r="D689" i="2"/>
  <c r="E689" i="2"/>
  <c r="D690" i="2"/>
  <c r="E690" i="2"/>
  <c r="D691" i="2"/>
  <c r="E691" i="2"/>
  <c r="D692" i="2"/>
  <c r="E692" i="2"/>
  <c r="D693" i="2"/>
  <c r="E693" i="2"/>
  <c r="D694" i="2"/>
  <c r="E694" i="2"/>
  <c r="D695" i="2"/>
  <c r="E695" i="2"/>
  <c r="D696" i="2"/>
  <c r="E696" i="2"/>
  <c r="D697" i="2"/>
  <c r="E697" i="2"/>
  <c r="D698" i="2"/>
  <c r="E698" i="2"/>
  <c r="D699" i="2"/>
  <c r="E699" i="2"/>
  <c r="D700" i="2"/>
  <c r="E700" i="2"/>
  <c r="D701" i="2"/>
  <c r="E701" i="2"/>
  <c r="D702" i="2"/>
  <c r="E702" i="2"/>
  <c r="D703" i="2"/>
  <c r="E703" i="2"/>
  <c r="D704" i="2"/>
  <c r="E704" i="2"/>
  <c r="D705" i="2"/>
  <c r="E705" i="2"/>
  <c r="D706" i="2"/>
  <c r="E706" i="2"/>
  <c r="D707" i="2"/>
  <c r="E707" i="2"/>
  <c r="D708" i="2"/>
  <c r="E708" i="2"/>
  <c r="D709" i="2"/>
  <c r="E709" i="2"/>
  <c r="D710" i="2"/>
  <c r="E710" i="2"/>
  <c r="D711" i="2"/>
  <c r="E711" i="2"/>
  <c r="D712" i="2"/>
  <c r="E712" i="2"/>
  <c r="D713" i="2"/>
  <c r="E713" i="2"/>
  <c r="D714" i="2"/>
  <c r="E714" i="2"/>
  <c r="D715" i="2"/>
  <c r="E715" i="2"/>
  <c r="D716" i="2"/>
  <c r="E716" i="2"/>
  <c r="D717" i="2"/>
  <c r="E717" i="2"/>
  <c r="D718" i="2"/>
  <c r="E718" i="2"/>
  <c r="D719" i="2"/>
  <c r="E719" i="2"/>
  <c r="D720" i="2"/>
  <c r="E720" i="2"/>
  <c r="D721" i="2"/>
  <c r="E721" i="2"/>
  <c r="E2" i="2"/>
  <c r="D2" i="2"/>
</calcChain>
</file>

<file path=xl/sharedStrings.xml><?xml version="1.0" encoding="utf-8"?>
<sst xmlns="http://schemas.openxmlformats.org/spreadsheetml/2006/main" count="970" uniqueCount="728">
  <si>
    <t>observation_date</t>
  </si>
  <si>
    <t>1964-01-01</t>
  </si>
  <si>
    <t>1964-04-01</t>
  </si>
  <si>
    <t>1964-07-01</t>
  </si>
  <si>
    <t>1964-10-01</t>
  </si>
  <si>
    <t>1965-01-01</t>
  </si>
  <si>
    <t>1965-04-01</t>
  </si>
  <si>
    <t>1965-07-01</t>
  </si>
  <si>
    <t>1965-10-01</t>
  </si>
  <si>
    <t>1966-01-01</t>
  </si>
  <si>
    <t>1966-04-01</t>
  </si>
  <si>
    <t>1966-07-01</t>
  </si>
  <si>
    <t>1966-10-01</t>
  </si>
  <si>
    <t>1967-01-01</t>
  </si>
  <si>
    <t>1967-04-01</t>
  </si>
  <si>
    <t>1967-07-01</t>
  </si>
  <si>
    <t>1967-10-01</t>
  </si>
  <si>
    <t>1968-01-01</t>
  </si>
  <si>
    <t>1968-04-01</t>
  </si>
  <si>
    <t>1968-07-01</t>
  </si>
  <si>
    <t>1968-10-01</t>
  </si>
  <si>
    <t>1969-01-01</t>
  </si>
  <si>
    <t>1969-04-01</t>
  </si>
  <si>
    <t>1969-07-01</t>
  </si>
  <si>
    <t>1969-10-01</t>
  </si>
  <si>
    <t>1970-01-01</t>
  </si>
  <si>
    <t>1970-04-01</t>
  </si>
  <si>
    <t>1970-07-01</t>
  </si>
  <si>
    <t>1970-10-01</t>
  </si>
  <si>
    <t>1971-01-01</t>
  </si>
  <si>
    <t>1971-04-01</t>
  </si>
  <si>
    <t>1971-07-01</t>
  </si>
  <si>
    <t>1971-10-01</t>
  </si>
  <si>
    <t>1972-01-01</t>
  </si>
  <si>
    <t>1972-04-01</t>
  </si>
  <si>
    <t>1972-07-01</t>
  </si>
  <si>
    <t>1972-10-01</t>
  </si>
  <si>
    <t>1973-01-01</t>
  </si>
  <si>
    <t>1973-04-01</t>
  </si>
  <si>
    <t>1973-07-01</t>
  </si>
  <si>
    <t>1973-10-01</t>
  </si>
  <si>
    <t>1974-01-01</t>
  </si>
  <si>
    <t>1974-04-01</t>
  </si>
  <si>
    <t>1974-07-01</t>
  </si>
  <si>
    <t>1974-10-01</t>
  </si>
  <si>
    <t>1975-01-01</t>
  </si>
  <si>
    <t>1975-04-01</t>
  </si>
  <si>
    <t>1975-07-01</t>
  </si>
  <si>
    <t>1975-10-01</t>
  </si>
  <si>
    <t>1976-01-01</t>
  </si>
  <si>
    <t>1976-04-01</t>
  </si>
  <si>
    <t>1976-07-01</t>
  </si>
  <si>
    <t>1976-10-01</t>
  </si>
  <si>
    <t>1977-01-01</t>
  </si>
  <si>
    <t>1977-04-01</t>
  </si>
  <si>
    <t>1977-07-01</t>
  </si>
  <si>
    <t>1977-10-01</t>
  </si>
  <si>
    <t>1978-01-01</t>
  </si>
  <si>
    <t>1978-04-01</t>
  </si>
  <si>
    <t>1978-07-01</t>
  </si>
  <si>
    <t>1978-10-01</t>
  </si>
  <si>
    <t>1979-01-01</t>
  </si>
  <si>
    <t>1979-04-01</t>
  </si>
  <si>
    <t>1979-07-01</t>
  </si>
  <si>
    <t>1979-10-01</t>
  </si>
  <si>
    <t>1980-01-01</t>
  </si>
  <si>
    <t>1980-04-01</t>
  </si>
  <si>
    <t>1980-07-01</t>
  </si>
  <si>
    <t>1980-10-01</t>
  </si>
  <si>
    <t>1981-01-01</t>
  </si>
  <si>
    <t>1981-04-01</t>
  </si>
  <si>
    <t>1981-07-01</t>
  </si>
  <si>
    <t>1981-10-01</t>
  </si>
  <si>
    <t>1982-01-01</t>
  </si>
  <si>
    <t>1982-04-01</t>
  </si>
  <si>
    <t>1982-07-01</t>
  </si>
  <si>
    <t>1982-10-01</t>
  </si>
  <si>
    <t>1983-01-01</t>
  </si>
  <si>
    <t>1983-04-01</t>
  </si>
  <si>
    <t>1983-07-01</t>
  </si>
  <si>
    <t>1983-10-01</t>
  </si>
  <si>
    <t>1984-01-01</t>
  </si>
  <si>
    <t>1984-04-01</t>
  </si>
  <si>
    <t>1984-07-01</t>
  </si>
  <si>
    <t>1984-10-01</t>
  </si>
  <si>
    <t>1985-01-01</t>
  </si>
  <si>
    <t>1985-04-01</t>
  </si>
  <si>
    <t>1985-07-01</t>
  </si>
  <si>
    <t>1985-10-01</t>
  </si>
  <si>
    <t>1986-01-01</t>
  </si>
  <si>
    <t>1986-04-01</t>
  </si>
  <si>
    <t>1986-07-01</t>
  </si>
  <si>
    <t>1986-10-01</t>
  </si>
  <si>
    <t>1987-01-01</t>
  </si>
  <si>
    <t>1987-04-01</t>
  </si>
  <si>
    <t>1987-07-01</t>
  </si>
  <si>
    <t>1987-10-01</t>
  </si>
  <si>
    <t>1988-01-01</t>
  </si>
  <si>
    <t>1988-04-01</t>
  </si>
  <si>
    <t>1988-07-01</t>
  </si>
  <si>
    <t>1988-10-01</t>
  </si>
  <si>
    <t>1989-01-01</t>
  </si>
  <si>
    <t>1989-04-01</t>
  </si>
  <si>
    <t>1989-07-01</t>
  </si>
  <si>
    <t>1989-10-01</t>
  </si>
  <si>
    <t>1990-01-01</t>
  </si>
  <si>
    <t>1990-04-01</t>
  </si>
  <si>
    <t>1990-07-01</t>
  </si>
  <si>
    <t>1990-10-01</t>
  </si>
  <si>
    <t>1991-01-01</t>
  </si>
  <si>
    <t>1991-04-01</t>
  </si>
  <si>
    <t>1991-07-01</t>
  </si>
  <si>
    <t>1991-10-01</t>
  </si>
  <si>
    <t>1992-01-01</t>
  </si>
  <si>
    <t>1992-04-01</t>
  </si>
  <si>
    <t>1992-07-01</t>
  </si>
  <si>
    <t>1992-10-01</t>
  </si>
  <si>
    <t>1993-01-01</t>
  </si>
  <si>
    <t>1993-04-01</t>
  </si>
  <si>
    <t>1993-07-01</t>
  </si>
  <si>
    <t>1993-10-01</t>
  </si>
  <si>
    <t>1994-01-01</t>
  </si>
  <si>
    <t>1994-04-01</t>
  </si>
  <si>
    <t>1994-07-01</t>
  </si>
  <si>
    <t>1994-10-01</t>
  </si>
  <si>
    <t>1995-01-01</t>
  </si>
  <si>
    <t>1995-04-01</t>
  </si>
  <si>
    <t>1995-07-01</t>
  </si>
  <si>
    <t>1995-10-01</t>
  </si>
  <si>
    <t>1996-01-01</t>
  </si>
  <si>
    <t>1996-04-01</t>
  </si>
  <si>
    <t>1996-07-01</t>
  </si>
  <si>
    <t>1996-10-01</t>
  </si>
  <si>
    <t>1997-01-01</t>
  </si>
  <si>
    <t>1997-04-01</t>
  </si>
  <si>
    <t>1997-07-01</t>
  </si>
  <si>
    <t>1997-10-01</t>
  </si>
  <si>
    <t>1998-01-01</t>
  </si>
  <si>
    <t>1998-04-01</t>
  </si>
  <si>
    <t>1998-07-01</t>
  </si>
  <si>
    <t>1998-10-01</t>
  </si>
  <si>
    <t>1999-01-01</t>
  </si>
  <si>
    <t>1999-04-01</t>
  </si>
  <si>
    <t>1999-07-01</t>
  </si>
  <si>
    <t>1999-10-01</t>
  </si>
  <si>
    <t>2000-01-01</t>
  </si>
  <si>
    <t>2000-04-01</t>
  </si>
  <si>
    <t>2000-07-01</t>
  </si>
  <si>
    <t>2000-10-01</t>
  </si>
  <si>
    <t>2001-01-01</t>
  </si>
  <si>
    <t>2001-04-01</t>
  </si>
  <si>
    <t>2001-07-01</t>
  </si>
  <si>
    <t>2001-10-01</t>
  </si>
  <si>
    <t>2002-01-01</t>
  </si>
  <si>
    <t>2002-04-01</t>
  </si>
  <si>
    <t>2002-07-01</t>
  </si>
  <si>
    <t>2002-10-01</t>
  </si>
  <si>
    <t>2003-01-01</t>
  </si>
  <si>
    <t>2003-04-01</t>
  </si>
  <si>
    <t>2003-07-01</t>
  </si>
  <si>
    <t>2003-10-01</t>
  </si>
  <si>
    <t>2004-01-01</t>
  </si>
  <si>
    <t>2004-04-01</t>
  </si>
  <si>
    <t>2004-07-01</t>
  </si>
  <si>
    <t>2004-10-01</t>
  </si>
  <si>
    <t>2005-01-01</t>
  </si>
  <si>
    <t>2005-04-01</t>
  </si>
  <si>
    <t>2005-07-01</t>
  </si>
  <si>
    <t>2005-10-01</t>
  </si>
  <si>
    <t>2006-01-01</t>
  </si>
  <si>
    <t>2006-04-01</t>
  </si>
  <si>
    <t>2006-07-01</t>
  </si>
  <si>
    <t>2006-10-01</t>
  </si>
  <si>
    <t>2007-01-01</t>
  </si>
  <si>
    <t>2007-04-01</t>
  </si>
  <si>
    <t>2007-07-01</t>
  </si>
  <si>
    <t>2007-10-01</t>
  </si>
  <si>
    <t>2008-01-01</t>
  </si>
  <si>
    <t>2008-04-01</t>
  </si>
  <si>
    <t>2008-07-01</t>
  </si>
  <si>
    <t>2008-10-01</t>
  </si>
  <si>
    <t>2009-01-01</t>
  </si>
  <si>
    <t>2009-04-01</t>
  </si>
  <si>
    <t>2009-07-01</t>
  </si>
  <si>
    <t>2009-10-01</t>
  </si>
  <si>
    <t>2010-01-01</t>
  </si>
  <si>
    <t>2010-04-01</t>
  </si>
  <si>
    <t>2010-07-01</t>
  </si>
  <si>
    <t>2010-10-01</t>
  </si>
  <si>
    <t>2011-01-01</t>
  </si>
  <si>
    <t>2011-04-01</t>
  </si>
  <si>
    <t>2011-07-01</t>
  </si>
  <si>
    <t>2011-10-01</t>
  </si>
  <si>
    <t>2012-01-01</t>
  </si>
  <si>
    <t>2012-04-01</t>
  </si>
  <si>
    <t>2012-07-01</t>
  </si>
  <si>
    <t>2012-10-01</t>
  </si>
  <si>
    <t>2013-01-01</t>
  </si>
  <si>
    <t>2013-04-01</t>
  </si>
  <si>
    <t>2013-07-01</t>
  </si>
  <si>
    <t>2013-10-01</t>
  </si>
  <si>
    <t>2014-01-01</t>
  </si>
  <si>
    <t>2014-04-01</t>
  </si>
  <si>
    <t>2014-07-01</t>
  </si>
  <si>
    <t>2014-10-01</t>
  </si>
  <si>
    <t>2015-01-01</t>
  </si>
  <si>
    <t>2015-04-01</t>
  </si>
  <si>
    <t>2015-07-01</t>
  </si>
  <si>
    <t>2015-10-01</t>
  </si>
  <si>
    <t>2016-01-01</t>
  </si>
  <si>
    <t>2016-04-01</t>
  </si>
  <si>
    <t>2016-07-01</t>
  </si>
  <si>
    <t>2016-10-01</t>
  </si>
  <si>
    <t>2017-01-01</t>
  </si>
  <si>
    <t>2017-04-01</t>
  </si>
  <si>
    <t>2017-07-01</t>
  </si>
  <si>
    <t>2017-10-01</t>
  </si>
  <si>
    <t>2018-01-01</t>
  </si>
  <si>
    <t>2018-04-01</t>
  </si>
  <si>
    <t>2018-07-01</t>
  </si>
  <si>
    <t>2018-10-01</t>
  </si>
  <si>
    <t>2019-01-01</t>
  </si>
  <si>
    <t>2019-04-01</t>
  </si>
  <si>
    <t>2019-07-01</t>
  </si>
  <si>
    <t>2019-10-01</t>
  </si>
  <si>
    <t>2020-01-01</t>
  </si>
  <si>
    <t>2020-04-01</t>
  </si>
  <si>
    <t>2020-07-01</t>
  </si>
  <si>
    <t>2020-10-01</t>
  </si>
  <si>
    <t>2021-01-01</t>
  </si>
  <si>
    <t>2021-04-01</t>
  </si>
  <si>
    <t>2021-07-01</t>
  </si>
  <si>
    <t>2021-10-01</t>
  </si>
  <si>
    <t>2022-01-01</t>
  </si>
  <si>
    <t>2022-04-01</t>
  </si>
  <si>
    <t>2022-07-01</t>
  </si>
  <si>
    <t>2022-10-01</t>
  </si>
  <si>
    <t>2023-01-01</t>
  </si>
  <si>
    <t>2023-04-01</t>
  </si>
  <si>
    <t>2023-07-01</t>
  </si>
  <si>
    <t>GDPC1</t>
  </si>
  <si>
    <t>GDPDEF</t>
  </si>
  <si>
    <t>GPDIC1</t>
  </si>
  <si>
    <t>1964-02-01</t>
  </si>
  <si>
    <t>1964-03-01</t>
  </si>
  <si>
    <t>1964-05-01</t>
  </si>
  <si>
    <t>1964-06-01</t>
  </si>
  <si>
    <t>1964-08-01</t>
  </si>
  <si>
    <t>1964-09-01</t>
  </si>
  <si>
    <t>1964-11-01</t>
  </si>
  <si>
    <t>1964-12-01</t>
  </si>
  <si>
    <t>1965-02-01</t>
  </si>
  <si>
    <t>1965-03-01</t>
  </si>
  <si>
    <t>1965-05-01</t>
  </si>
  <si>
    <t>1965-06-01</t>
  </si>
  <si>
    <t>1965-08-01</t>
  </si>
  <si>
    <t>1965-09-01</t>
  </si>
  <si>
    <t>1965-11-01</t>
  </si>
  <si>
    <t>1965-12-01</t>
  </si>
  <si>
    <t>1966-02-01</t>
  </si>
  <si>
    <t>1966-03-01</t>
  </si>
  <si>
    <t>1966-05-01</t>
  </si>
  <si>
    <t>1966-06-01</t>
  </si>
  <si>
    <t>1966-08-01</t>
  </si>
  <si>
    <t>1966-09-01</t>
  </si>
  <si>
    <t>1966-11-01</t>
  </si>
  <si>
    <t>1966-12-01</t>
  </si>
  <si>
    <t>1967-02-01</t>
  </si>
  <si>
    <t>1967-03-01</t>
  </si>
  <si>
    <t>1967-05-01</t>
  </si>
  <si>
    <t>1967-06-01</t>
  </si>
  <si>
    <t>1967-08-01</t>
  </si>
  <si>
    <t>1967-09-01</t>
  </si>
  <si>
    <t>1967-11-01</t>
  </si>
  <si>
    <t>1967-12-01</t>
  </si>
  <si>
    <t>1968-02-01</t>
  </si>
  <si>
    <t>1968-03-01</t>
  </si>
  <si>
    <t>1968-05-01</t>
  </si>
  <si>
    <t>1968-06-01</t>
  </si>
  <si>
    <t>1968-08-01</t>
  </si>
  <si>
    <t>1968-09-01</t>
  </si>
  <si>
    <t>1968-11-01</t>
  </si>
  <si>
    <t>1968-12-01</t>
  </si>
  <si>
    <t>1969-02-01</t>
  </si>
  <si>
    <t>1969-03-01</t>
  </si>
  <si>
    <t>1969-05-01</t>
  </si>
  <si>
    <t>1969-06-01</t>
  </si>
  <si>
    <t>1969-08-01</t>
  </si>
  <si>
    <t>1969-09-01</t>
  </si>
  <si>
    <t>1969-11-01</t>
  </si>
  <si>
    <t>1969-12-01</t>
  </si>
  <si>
    <t>1970-02-01</t>
  </si>
  <si>
    <t>1970-03-01</t>
  </si>
  <si>
    <t>1970-05-01</t>
  </si>
  <si>
    <t>1970-06-01</t>
  </si>
  <si>
    <t>1970-08-01</t>
  </si>
  <si>
    <t>1970-09-01</t>
  </si>
  <si>
    <t>1970-11-01</t>
  </si>
  <si>
    <t>1970-12-01</t>
  </si>
  <si>
    <t>1971-02-01</t>
  </si>
  <si>
    <t>1971-03-01</t>
  </si>
  <si>
    <t>1971-05-01</t>
  </si>
  <si>
    <t>1971-06-01</t>
  </si>
  <si>
    <t>1971-08-01</t>
  </si>
  <si>
    <t>1971-09-01</t>
  </si>
  <si>
    <t>1971-11-01</t>
  </si>
  <si>
    <t>1971-12-01</t>
  </si>
  <si>
    <t>1972-02-01</t>
  </si>
  <si>
    <t>1972-03-01</t>
  </si>
  <si>
    <t>1972-05-01</t>
  </si>
  <si>
    <t>1972-06-01</t>
  </si>
  <si>
    <t>1972-08-01</t>
  </si>
  <si>
    <t>1972-09-01</t>
  </si>
  <si>
    <t>1972-11-01</t>
  </si>
  <si>
    <t>1972-12-01</t>
  </si>
  <si>
    <t>1973-02-01</t>
  </si>
  <si>
    <t>1973-03-01</t>
  </si>
  <si>
    <t>1973-05-01</t>
  </si>
  <si>
    <t>1973-06-01</t>
  </si>
  <si>
    <t>1973-08-01</t>
  </si>
  <si>
    <t>1973-09-01</t>
  </si>
  <si>
    <t>1973-11-01</t>
  </si>
  <si>
    <t>1973-12-01</t>
  </si>
  <si>
    <t>1974-02-01</t>
  </si>
  <si>
    <t>1974-03-01</t>
  </si>
  <si>
    <t>1974-05-01</t>
  </si>
  <si>
    <t>1974-06-01</t>
  </si>
  <si>
    <t>1974-08-01</t>
  </si>
  <si>
    <t>1974-09-01</t>
  </si>
  <si>
    <t>1974-11-01</t>
  </si>
  <si>
    <t>1974-12-01</t>
  </si>
  <si>
    <t>1975-02-01</t>
  </si>
  <si>
    <t>1975-03-01</t>
  </si>
  <si>
    <t>1975-05-01</t>
  </si>
  <si>
    <t>1975-06-01</t>
  </si>
  <si>
    <t>1975-08-01</t>
  </si>
  <si>
    <t>1975-09-01</t>
  </si>
  <si>
    <t>1975-11-01</t>
  </si>
  <si>
    <t>1975-12-01</t>
  </si>
  <si>
    <t>1976-02-01</t>
  </si>
  <si>
    <t>1976-03-01</t>
  </si>
  <si>
    <t>1976-05-01</t>
  </si>
  <si>
    <t>1976-06-01</t>
  </si>
  <si>
    <t>1976-08-01</t>
  </si>
  <si>
    <t>1976-09-01</t>
  </si>
  <si>
    <t>1976-11-01</t>
  </si>
  <si>
    <t>1976-12-01</t>
  </si>
  <si>
    <t>1977-02-01</t>
  </si>
  <si>
    <t>1977-03-01</t>
  </si>
  <si>
    <t>1977-05-01</t>
  </si>
  <si>
    <t>1977-06-01</t>
  </si>
  <si>
    <t>1977-08-01</t>
  </si>
  <si>
    <t>1977-09-01</t>
  </si>
  <si>
    <t>1977-11-01</t>
  </si>
  <si>
    <t>1977-12-01</t>
  </si>
  <si>
    <t>1978-02-01</t>
  </si>
  <si>
    <t>1978-03-01</t>
  </si>
  <si>
    <t>1978-05-01</t>
  </si>
  <si>
    <t>1978-06-01</t>
  </si>
  <si>
    <t>1978-08-01</t>
  </si>
  <si>
    <t>1978-09-01</t>
  </si>
  <si>
    <t>1978-11-01</t>
  </si>
  <si>
    <t>1978-12-01</t>
  </si>
  <si>
    <t>1979-02-01</t>
  </si>
  <si>
    <t>1979-03-01</t>
  </si>
  <si>
    <t>1979-05-01</t>
  </si>
  <si>
    <t>1979-06-01</t>
  </si>
  <si>
    <t>1979-08-01</t>
  </si>
  <si>
    <t>1979-09-01</t>
  </si>
  <si>
    <t>1979-11-01</t>
  </si>
  <si>
    <t>1979-12-01</t>
  </si>
  <si>
    <t>1980-02-01</t>
  </si>
  <si>
    <t>1980-03-01</t>
  </si>
  <si>
    <t>1980-05-01</t>
  </si>
  <si>
    <t>1980-06-01</t>
  </si>
  <si>
    <t>1980-08-01</t>
  </si>
  <si>
    <t>1980-09-01</t>
  </si>
  <si>
    <t>1980-11-01</t>
  </si>
  <si>
    <t>1980-12-01</t>
  </si>
  <si>
    <t>1981-02-01</t>
  </si>
  <si>
    <t>1981-03-01</t>
  </si>
  <si>
    <t>1981-05-01</t>
  </si>
  <si>
    <t>1981-06-01</t>
  </si>
  <si>
    <t>1981-08-01</t>
  </si>
  <si>
    <t>1981-09-01</t>
  </si>
  <si>
    <t>1981-11-01</t>
  </si>
  <si>
    <t>1981-12-01</t>
  </si>
  <si>
    <t>1982-02-01</t>
  </si>
  <si>
    <t>1982-03-01</t>
  </si>
  <si>
    <t>1982-05-01</t>
  </si>
  <si>
    <t>1982-06-01</t>
  </si>
  <si>
    <t>1982-08-01</t>
  </si>
  <si>
    <t>1982-09-01</t>
  </si>
  <si>
    <t>1982-11-01</t>
  </si>
  <si>
    <t>1982-12-01</t>
  </si>
  <si>
    <t>1983-02-01</t>
  </si>
  <si>
    <t>1983-03-01</t>
  </si>
  <si>
    <t>1983-05-01</t>
  </si>
  <si>
    <t>1983-06-01</t>
  </si>
  <si>
    <t>1983-08-01</t>
  </si>
  <si>
    <t>1983-09-01</t>
  </si>
  <si>
    <t>1983-11-01</t>
  </si>
  <si>
    <t>1983-12-01</t>
  </si>
  <si>
    <t>1984-02-01</t>
  </si>
  <si>
    <t>1984-03-01</t>
  </si>
  <si>
    <t>1984-05-01</t>
  </si>
  <si>
    <t>1984-06-01</t>
  </si>
  <si>
    <t>1984-08-01</t>
  </si>
  <si>
    <t>1984-09-01</t>
  </si>
  <si>
    <t>1984-11-01</t>
  </si>
  <si>
    <t>1984-12-01</t>
  </si>
  <si>
    <t>1985-02-01</t>
  </si>
  <si>
    <t>1985-03-01</t>
  </si>
  <si>
    <t>1985-05-01</t>
  </si>
  <si>
    <t>1985-06-01</t>
  </si>
  <si>
    <t>1985-08-01</t>
  </si>
  <si>
    <t>1985-09-01</t>
  </si>
  <si>
    <t>1985-11-01</t>
  </si>
  <si>
    <t>1985-12-01</t>
  </si>
  <si>
    <t>1986-02-01</t>
  </si>
  <si>
    <t>1986-03-01</t>
  </si>
  <si>
    <t>1986-05-01</t>
  </si>
  <si>
    <t>1986-06-01</t>
  </si>
  <si>
    <t>1986-08-01</t>
  </si>
  <si>
    <t>1986-09-01</t>
  </si>
  <si>
    <t>1986-11-01</t>
  </si>
  <si>
    <t>1986-12-01</t>
  </si>
  <si>
    <t>1987-02-01</t>
  </si>
  <si>
    <t>1987-03-01</t>
  </si>
  <si>
    <t>1987-05-01</t>
  </si>
  <si>
    <t>1987-06-01</t>
  </si>
  <si>
    <t>1987-08-01</t>
  </si>
  <si>
    <t>1987-09-01</t>
  </si>
  <si>
    <t>1987-11-01</t>
  </si>
  <si>
    <t>1987-12-01</t>
  </si>
  <si>
    <t>1988-02-01</t>
  </si>
  <si>
    <t>1988-03-01</t>
  </si>
  <si>
    <t>1988-05-01</t>
  </si>
  <si>
    <t>1988-06-01</t>
  </si>
  <si>
    <t>1988-08-01</t>
  </si>
  <si>
    <t>1988-09-01</t>
  </si>
  <si>
    <t>1988-11-01</t>
  </si>
  <si>
    <t>1988-12-01</t>
  </si>
  <si>
    <t>1989-02-01</t>
  </si>
  <si>
    <t>1989-03-01</t>
  </si>
  <si>
    <t>1989-05-01</t>
  </si>
  <si>
    <t>1989-06-01</t>
  </si>
  <si>
    <t>1989-08-01</t>
  </si>
  <si>
    <t>1989-09-01</t>
  </si>
  <si>
    <t>1989-11-01</t>
  </si>
  <si>
    <t>1989-12-01</t>
  </si>
  <si>
    <t>1990-02-01</t>
  </si>
  <si>
    <t>1990-03-01</t>
  </si>
  <si>
    <t>1990-05-01</t>
  </si>
  <si>
    <t>1990-06-01</t>
  </si>
  <si>
    <t>1990-08-01</t>
  </si>
  <si>
    <t>1990-09-01</t>
  </si>
  <si>
    <t>1990-11-01</t>
  </si>
  <si>
    <t>1990-12-01</t>
  </si>
  <si>
    <t>1991-02-01</t>
  </si>
  <si>
    <t>1991-03-01</t>
  </si>
  <si>
    <t>1991-05-01</t>
  </si>
  <si>
    <t>1991-06-01</t>
  </si>
  <si>
    <t>1991-08-01</t>
  </si>
  <si>
    <t>1991-09-01</t>
  </si>
  <si>
    <t>1991-11-01</t>
  </si>
  <si>
    <t>1991-12-01</t>
  </si>
  <si>
    <t>1992-02-01</t>
  </si>
  <si>
    <t>1992-03-01</t>
  </si>
  <si>
    <t>1992-05-01</t>
  </si>
  <si>
    <t>1992-06-01</t>
  </si>
  <si>
    <t>1992-08-01</t>
  </si>
  <si>
    <t>1992-09-01</t>
  </si>
  <si>
    <t>1992-11-01</t>
  </si>
  <si>
    <t>1992-12-01</t>
  </si>
  <si>
    <t>1993-02-01</t>
  </si>
  <si>
    <t>1993-03-01</t>
  </si>
  <si>
    <t>1993-05-01</t>
  </si>
  <si>
    <t>1993-06-01</t>
  </si>
  <si>
    <t>1993-08-01</t>
  </si>
  <si>
    <t>1993-09-01</t>
  </si>
  <si>
    <t>1993-11-01</t>
  </si>
  <si>
    <t>1993-12-01</t>
  </si>
  <si>
    <t>1994-02-01</t>
  </si>
  <si>
    <t>1994-03-01</t>
  </si>
  <si>
    <t>1994-05-01</t>
  </si>
  <si>
    <t>1994-06-01</t>
  </si>
  <si>
    <t>1994-08-01</t>
  </si>
  <si>
    <t>1994-09-01</t>
  </si>
  <si>
    <t>1994-11-01</t>
  </si>
  <si>
    <t>1994-12-01</t>
  </si>
  <si>
    <t>1995-02-01</t>
  </si>
  <si>
    <t>1995-03-01</t>
  </si>
  <si>
    <t>1995-05-01</t>
  </si>
  <si>
    <t>1995-06-01</t>
  </si>
  <si>
    <t>1995-08-01</t>
  </si>
  <si>
    <t>1995-09-01</t>
  </si>
  <si>
    <t>1995-11-01</t>
  </si>
  <si>
    <t>1995-12-01</t>
  </si>
  <si>
    <t>1996-02-01</t>
  </si>
  <si>
    <t>1996-03-01</t>
  </si>
  <si>
    <t>1996-05-01</t>
  </si>
  <si>
    <t>1996-06-01</t>
  </si>
  <si>
    <t>1996-08-01</t>
  </si>
  <si>
    <t>1996-09-01</t>
  </si>
  <si>
    <t>1996-11-01</t>
  </si>
  <si>
    <t>1996-12-01</t>
  </si>
  <si>
    <t>1997-02-01</t>
  </si>
  <si>
    <t>1997-03-01</t>
  </si>
  <si>
    <t>1997-05-01</t>
  </si>
  <si>
    <t>1997-06-01</t>
  </si>
  <si>
    <t>1997-08-01</t>
  </si>
  <si>
    <t>1997-09-01</t>
  </si>
  <si>
    <t>1997-11-01</t>
  </si>
  <si>
    <t>1997-12-01</t>
  </si>
  <si>
    <t>1998-02-01</t>
  </si>
  <si>
    <t>1998-03-01</t>
  </si>
  <si>
    <t>1998-05-01</t>
  </si>
  <si>
    <t>1998-06-01</t>
  </si>
  <si>
    <t>1998-08-01</t>
  </si>
  <si>
    <t>1998-09-01</t>
  </si>
  <si>
    <t>1998-11-01</t>
  </si>
  <si>
    <t>1998-12-01</t>
  </si>
  <si>
    <t>1999-02-01</t>
  </si>
  <si>
    <t>1999-03-01</t>
  </si>
  <si>
    <t>1999-05-01</t>
  </si>
  <si>
    <t>1999-06-01</t>
  </si>
  <si>
    <t>1999-08-01</t>
  </si>
  <si>
    <t>1999-09-01</t>
  </si>
  <si>
    <t>1999-11-01</t>
  </si>
  <si>
    <t>1999-12-01</t>
  </si>
  <si>
    <t>2000-02-01</t>
  </si>
  <si>
    <t>2000-03-01</t>
  </si>
  <si>
    <t>2000-05-01</t>
  </si>
  <si>
    <t>2000-06-01</t>
  </si>
  <si>
    <t>2000-08-01</t>
  </si>
  <si>
    <t>2000-09-01</t>
  </si>
  <si>
    <t>2000-11-01</t>
  </si>
  <si>
    <t>2000-12-01</t>
  </si>
  <si>
    <t>2001-02-01</t>
  </si>
  <si>
    <t>2001-03-01</t>
  </si>
  <si>
    <t>2001-05-01</t>
  </si>
  <si>
    <t>2001-06-01</t>
  </si>
  <si>
    <t>2001-08-01</t>
  </si>
  <si>
    <t>2001-09-01</t>
  </si>
  <si>
    <t>2001-11-01</t>
  </si>
  <si>
    <t>2001-12-01</t>
  </si>
  <si>
    <t>2002-02-01</t>
  </si>
  <si>
    <t>2002-03-01</t>
  </si>
  <si>
    <t>2002-05-01</t>
  </si>
  <si>
    <t>2002-06-01</t>
  </si>
  <si>
    <t>2002-08-01</t>
  </si>
  <si>
    <t>2002-09-01</t>
  </si>
  <si>
    <t>2002-11-01</t>
  </si>
  <si>
    <t>2002-12-01</t>
  </si>
  <si>
    <t>2003-02-01</t>
  </si>
  <si>
    <t>2003-03-01</t>
  </si>
  <si>
    <t>2003-05-01</t>
  </si>
  <si>
    <t>2003-06-01</t>
  </si>
  <si>
    <t>2003-08-01</t>
  </si>
  <si>
    <t>2003-09-01</t>
  </si>
  <si>
    <t>2003-11-01</t>
  </si>
  <si>
    <t>2003-12-01</t>
  </si>
  <si>
    <t>2004-02-01</t>
  </si>
  <si>
    <t>2004-03-01</t>
  </si>
  <si>
    <t>2004-05-01</t>
  </si>
  <si>
    <t>2004-06-01</t>
  </si>
  <si>
    <t>2004-08-01</t>
  </si>
  <si>
    <t>2004-09-01</t>
  </si>
  <si>
    <t>2004-11-01</t>
  </si>
  <si>
    <t>2004-12-01</t>
  </si>
  <si>
    <t>2005-02-01</t>
  </si>
  <si>
    <t>2005-03-01</t>
  </si>
  <si>
    <t>2005-05-01</t>
  </si>
  <si>
    <t>2005-06-01</t>
  </si>
  <si>
    <t>2005-08-01</t>
  </si>
  <si>
    <t>2005-09-01</t>
  </si>
  <si>
    <t>2005-11-01</t>
  </si>
  <si>
    <t>2005-12-01</t>
  </si>
  <si>
    <t>2006-02-01</t>
  </si>
  <si>
    <t>2006-03-01</t>
  </si>
  <si>
    <t>2006-05-01</t>
  </si>
  <si>
    <t>2006-06-01</t>
  </si>
  <si>
    <t>2006-08-01</t>
  </si>
  <si>
    <t>2006-09-01</t>
  </si>
  <si>
    <t>2006-11-01</t>
  </si>
  <si>
    <t>2006-12-01</t>
  </si>
  <si>
    <t>2007-02-01</t>
  </si>
  <si>
    <t>2007-03-01</t>
  </si>
  <si>
    <t>2007-05-01</t>
  </si>
  <si>
    <t>2007-06-01</t>
  </si>
  <si>
    <t>2007-08-01</t>
  </si>
  <si>
    <t>2007-09-01</t>
  </si>
  <si>
    <t>2007-11-01</t>
  </si>
  <si>
    <t>2007-12-01</t>
  </si>
  <si>
    <t>2008-02-01</t>
  </si>
  <si>
    <t>2008-03-01</t>
  </si>
  <si>
    <t>2008-05-01</t>
  </si>
  <si>
    <t>2008-06-01</t>
  </si>
  <si>
    <t>2008-08-01</t>
  </si>
  <si>
    <t>2008-09-01</t>
  </si>
  <si>
    <t>2008-11-01</t>
  </si>
  <si>
    <t>2008-12-01</t>
  </si>
  <si>
    <t>2009-02-01</t>
  </si>
  <si>
    <t>2009-03-01</t>
  </si>
  <si>
    <t>2009-05-01</t>
  </si>
  <si>
    <t>2009-06-01</t>
  </si>
  <si>
    <t>2009-08-01</t>
  </si>
  <si>
    <t>2009-09-01</t>
  </si>
  <si>
    <t>2009-11-01</t>
  </si>
  <si>
    <t>2009-12-01</t>
  </si>
  <si>
    <t>2010-02-01</t>
  </si>
  <si>
    <t>2010-03-01</t>
  </si>
  <si>
    <t>2010-05-01</t>
  </si>
  <si>
    <t>2010-06-01</t>
  </si>
  <si>
    <t>2010-08-01</t>
  </si>
  <si>
    <t>2010-09-01</t>
  </si>
  <si>
    <t>2010-11-01</t>
  </si>
  <si>
    <t>2010-12-01</t>
  </si>
  <si>
    <t>2011-02-01</t>
  </si>
  <si>
    <t>2011-03-01</t>
  </si>
  <si>
    <t>2011-05-01</t>
  </si>
  <si>
    <t>2011-06-01</t>
  </si>
  <si>
    <t>2011-08-01</t>
  </si>
  <si>
    <t>2011-09-01</t>
  </si>
  <si>
    <t>2011-11-01</t>
  </si>
  <si>
    <t>2011-12-01</t>
  </si>
  <si>
    <t>2012-02-01</t>
  </si>
  <si>
    <t>2012-03-01</t>
  </si>
  <si>
    <t>2012-05-01</t>
  </si>
  <si>
    <t>2012-06-01</t>
  </si>
  <si>
    <t>2012-08-01</t>
  </si>
  <si>
    <t>2012-09-01</t>
  </si>
  <si>
    <t>2012-11-01</t>
  </si>
  <si>
    <t>2012-12-01</t>
  </si>
  <si>
    <t>2013-02-01</t>
  </si>
  <si>
    <t>2013-03-01</t>
  </si>
  <si>
    <t>2013-05-01</t>
  </si>
  <si>
    <t>2013-06-01</t>
  </si>
  <si>
    <t>2013-08-01</t>
  </si>
  <si>
    <t>2013-09-01</t>
  </si>
  <si>
    <t>2013-11-01</t>
  </si>
  <si>
    <t>2013-12-01</t>
  </si>
  <si>
    <t>2014-02-01</t>
  </si>
  <si>
    <t>2014-03-01</t>
  </si>
  <si>
    <t>2014-05-01</t>
  </si>
  <si>
    <t>2014-06-01</t>
  </si>
  <si>
    <t>2014-08-01</t>
  </si>
  <si>
    <t>2014-09-01</t>
  </si>
  <si>
    <t>2014-11-01</t>
  </si>
  <si>
    <t>2014-12-01</t>
  </si>
  <si>
    <t>2015-02-01</t>
  </si>
  <si>
    <t>2015-03-01</t>
  </si>
  <si>
    <t>2015-05-01</t>
  </si>
  <si>
    <t>2015-06-01</t>
  </si>
  <si>
    <t>2015-08-01</t>
  </si>
  <si>
    <t>2015-09-01</t>
  </si>
  <si>
    <t>2015-11-01</t>
  </si>
  <si>
    <t>2015-12-01</t>
  </si>
  <si>
    <t>2016-02-01</t>
  </si>
  <si>
    <t>2016-03-01</t>
  </si>
  <si>
    <t>2016-05-01</t>
  </si>
  <si>
    <t>2016-06-01</t>
  </si>
  <si>
    <t>2016-08-01</t>
  </si>
  <si>
    <t>2016-09-01</t>
  </si>
  <si>
    <t>2016-11-01</t>
  </si>
  <si>
    <t>2016-12-01</t>
  </si>
  <si>
    <t>2017-02-01</t>
  </si>
  <si>
    <t>2017-03-01</t>
  </si>
  <si>
    <t>2017-05-01</t>
  </si>
  <si>
    <t>2017-06-01</t>
  </si>
  <si>
    <t>2017-08-01</t>
  </si>
  <si>
    <t>2017-09-01</t>
  </si>
  <si>
    <t>2017-11-01</t>
  </si>
  <si>
    <t>2017-12-01</t>
  </si>
  <si>
    <t>2018-02-01</t>
  </si>
  <si>
    <t>2018-03-01</t>
  </si>
  <si>
    <t>2018-05-01</t>
  </si>
  <si>
    <t>2018-06-01</t>
  </si>
  <si>
    <t>2018-08-01</t>
  </si>
  <si>
    <t>2018-09-01</t>
  </si>
  <si>
    <t>2018-11-01</t>
  </si>
  <si>
    <t>2018-12-01</t>
  </si>
  <si>
    <t>2019-02-01</t>
  </si>
  <si>
    <t>2019-03-01</t>
  </si>
  <si>
    <t>2019-05-01</t>
  </si>
  <si>
    <t>2019-06-01</t>
  </si>
  <si>
    <t>2019-08-01</t>
  </si>
  <si>
    <t>2019-09-01</t>
  </si>
  <si>
    <t>2019-11-01</t>
  </si>
  <si>
    <t>2019-12-01</t>
  </si>
  <si>
    <t>2020-02-01</t>
  </si>
  <si>
    <t>2020-03-01</t>
  </si>
  <si>
    <t>2020-05-01</t>
  </si>
  <si>
    <t>2020-06-01</t>
  </si>
  <si>
    <t>2020-08-01</t>
  </si>
  <si>
    <t>2020-09-01</t>
  </si>
  <si>
    <t>2020-11-01</t>
  </si>
  <si>
    <t>2020-12-01</t>
  </si>
  <si>
    <t>2021-02-01</t>
  </si>
  <si>
    <t>2021-03-01</t>
  </si>
  <si>
    <t>2021-05-01</t>
  </si>
  <si>
    <t>2021-06-01</t>
  </si>
  <si>
    <t>2021-08-01</t>
  </si>
  <si>
    <t>2021-09-01</t>
  </si>
  <si>
    <t>2021-11-01</t>
  </si>
  <si>
    <t>2021-12-01</t>
  </si>
  <si>
    <t>2022-02-01</t>
  </si>
  <si>
    <t>2022-03-01</t>
  </si>
  <si>
    <t>2022-05-01</t>
  </si>
  <si>
    <t>2022-06-01</t>
  </si>
  <si>
    <t>2022-08-01</t>
  </si>
  <si>
    <t>2022-09-01</t>
  </si>
  <si>
    <t>2022-11-01</t>
  </si>
  <si>
    <t>2022-12-01</t>
  </si>
  <si>
    <t>2023-02-01</t>
  </si>
  <si>
    <t>2023-03-01</t>
  </si>
  <si>
    <t>2023-05-01</t>
  </si>
  <si>
    <t>2023-06-01</t>
  </si>
  <si>
    <t>2023-08-01</t>
  </si>
  <si>
    <t>2023-09-01</t>
  </si>
  <si>
    <t>2023-10-01</t>
  </si>
  <si>
    <t>2023-11-01</t>
  </si>
  <si>
    <t>2023-12-01</t>
  </si>
  <si>
    <t>FEDFUNDS</t>
  </si>
  <si>
    <t>AHETPI</t>
  </si>
  <si>
    <t>AHETPI_3m_avg</t>
  </si>
  <si>
    <t>FEDFUNDS_3m_avg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</si>
</sst>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3" x14ac:knownFonts="1">
    <font>
      <sz val="10"/>
      <color theme="1"/>
      <name val="Segoe Ui"/>
      <family val="2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0" borderId="0"/>
  </cellStyleXfs>
  <cellXfs count="12">
    <xf numFmtId="0" fontId="0" fillId="0" borderId="0" xfId="0"/>
    <xf numFmtId="0" fontId="1" fillId="0" borderId="0" xfId="1"/>
    <xf numFmtId="164" fontId="1" fillId="0" borderId="0" xfId="1" applyNumberFormat="1"/>
    <xf numFmtId="0" fontId="2" fillId="0" borderId="1" xfId="1" applyFont="1" applyBorder="1" applyAlignment="1">
      <alignment horizontal="center" vertical="top"/>
    </xf>
    <xf numFmtId="2" fontId="0" fillId="0" borderId="0" xfId="0" applyNumberFormat="1"/>
    <xf numFmtId="164" fontId="1" fillId="0" borderId="0" xfId="1" applyNumberFormat="1"/>
    <xf numFmtId="0" fontId="2" fillId="0" borderId="1" xfId="1" applyFont="1" applyBorder="1" applyAlignment="1">
      <alignment horizontal="center" vertical="top"/>
    </xf>
    <xf numFmtId="0" fontId="1" fillId="0" borderId="0" xfId="1"/>
    <xf numFmtId="2" fontId="1" fillId="0" borderId="0" xfId="1" applyNumberFormat="1"/>
    <xf numFmtId="0" fontId="2" fillId="0" borderId="1" xfId="1" applyFont="1" applyBorder="1" applyAlignment="1">
      <alignment horizontal="center" vertical="top"/>
    </xf>
    <xf numFmtId="2" fontId="1" fillId="0" borderId="0" xfId="1" applyNumberFormat="1"/>
    <xf numFmtId="0" fontId="2" fillId="0" borderId="1" xfId="1" applyFont="1" applyBorder="1" applyAlignment="1">
      <alignment horizontal="center" vertical="top"/>
    </xf>
  </cellXfs>
  <cellStyles count="2">
    <cellStyle name="Normal" xfId="0" builtinId="0"/>
    <cellStyle name="Normal 2" xfId="1" xr:uid="{21417EEF-0EFE-44D2-B8AA-9B6234CBA53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BB671C-8BFD-4990-B474-5182A1C9BCAD}">
  <dimension ref="A1:F240"/>
  <sheetViews>
    <sheetView tabSelected="1" topLeftCell="A206" workbookViewId="0">
      <selection activeCell="A241" sqref="A241"/>
    </sheetView>
  </sheetViews>
  <sheetFormatPr baseColWidth="10" defaultRowHeight="14.25" x14ac:dyDescent="0.25"/>
  <cols>
    <col min="1" max="1" width="18.28515625" customWidth="1"/>
  </cols>
  <sheetData>
    <row r="1" spans="1:6" ht="15" x14ac:dyDescent="0.25">
      <c r="A1" s="3" t="s">
        <v>0</v>
      </c>
      <c r="B1" s="3" t="s">
        <v>240</v>
      </c>
      <c r="C1" s="3" t="s">
        <v>241</v>
      </c>
      <c r="D1" s="6" t="s">
        <v>242</v>
      </c>
      <c r="E1" s="11" t="s">
        <v>725</v>
      </c>
      <c r="F1" s="11" t="s">
        <v>724</v>
      </c>
    </row>
    <row r="2" spans="1:6" ht="15" x14ac:dyDescent="0.25">
      <c r="A2" s="1" t="s">
        <v>1</v>
      </c>
      <c r="B2" s="2">
        <v>4135.5529999999999</v>
      </c>
      <c r="C2" s="2">
        <v>16.196999999999999</v>
      </c>
      <c r="D2" s="5">
        <v>469.91800000000001</v>
      </c>
      <c r="E2" s="4">
        <f>VLOOKUP($A2,monthly!$A$1:$E$721,4,FALSE)</f>
        <v>2.5033333333333334</v>
      </c>
      <c r="F2" s="4">
        <f>VLOOKUP($A2,monthly!$A$1:$E$721,5,FALSE)</f>
        <v>3.4633333333333334</v>
      </c>
    </row>
    <row r="3" spans="1:6" ht="15" x14ac:dyDescent="0.25">
      <c r="A3" s="1" t="s">
        <v>2</v>
      </c>
      <c r="B3" s="2">
        <v>4180.5919999999996</v>
      </c>
      <c r="C3" s="2">
        <v>16.234000000000002</v>
      </c>
      <c r="D3" s="5">
        <v>468.22500000000002</v>
      </c>
      <c r="E3" s="4">
        <f>VLOOKUP($A3,monthly!$A$1:$E$721,4,FALSE)</f>
        <v>2.5233333333333334</v>
      </c>
      <c r="F3" s="4">
        <f>VLOOKUP($A3,monthly!$A$1:$E$721,5,FALSE)</f>
        <v>3.49</v>
      </c>
    </row>
    <row r="4" spans="1:6" ht="15" x14ac:dyDescent="0.25">
      <c r="A4" s="1" t="s">
        <v>3</v>
      </c>
      <c r="B4" s="2">
        <v>4245.9179999999997</v>
      </c>
      <c r="C4" s="2">
        <v>16.298999999999999</v>
      </c>
      <c r="D4" s="5">
        <v>479.154</v>
      </c>
      <c r="E4" s="4">
        <f>VLOOKUP($A4,monthly!$A$1:$E$721,4,FALSE)</f>
        <v>2.5500000000000003</v>
      </c>
      <c r="F4" s="4">
        <f>VLOOKUP($A4,monthly!$A$1:$E$721,5,FALSE)</f>
        <v>3.456666666666667</v>
      </c>
    </row>
    <row r="5" spans="1:6" ht="15" x14ac:dyDescent="0.25">
      <c r="A5" s="1" t="s">
        <v>4</v>
      </c>
      <c r="B5" s="2">
        <v>4259.0460000000003</v>
      </c>
      <c r="C5" s="2">
        <v>16.373000000000001</v>
      </c>
      <c r="D5" s="5">
        <v>483.70600000000002</v>
      </c>
      <c r="E5" s="4">
        <f>VLOOKUP($A5,monthly!$A$1:$E$721,4,FALSE)</f>
        <v>2.563333333333333</v>
      </c>
      <c r="F5" s="4">
        <f>VLOOKUP($A5,monthly!$A$1:$E$721,5,FALSE)</f>
        <v>3.5766666666666667</v>
      </c>
    </row>
    <row r="6" spans="1:6" ht="15" x14ac:dyDescent="0.25">
      <c r="A6" s="1" t="s">
        <v>5</v>
      </c>
      <c r="B6" s="2">
        <v>4362.1109999999999</v>
      </c>
      <c r="C6" s="2">
        <v>16.454999999999998</v>
      </c>
      <c r="D6" s="5">
        <v>529.82399999999996</v>
      </c>
      <c r="E6" s="4">
        <f>VLOOKUP($A6,monthly!$A$1:$E$721,4,FALSE)</f>
        <v>2.5933333333333333</v>
      </c>
      <c r="F6" s="4">
        <f>VLOOKUP($A6,monthly!$A$1:$E$721,5,FALSE)</f>
        <v>3.9766666666666666</v>
      </c>
    </row>
    <row r="7" spans="1:6" ht="15" x14ac:dyDescent="0.25">
      <c r="A7" s="1" t="s">
        <v>6</v>
      </c>
      <c r="B7" s="2">
        <v>4417.2250000000004</v>
      </c>
      <c r="C7" s="2">
        <v>16.530999999999999</v>
      </c>
      <c r="D7" s="5">
        <v>531.21600000000001</v>
      </c>
      <c r="E7" s="4">
        <f>VLOOKUP($A7,monthly!$A$1:$E$721,4,FALSE)</f>
        <v>2.6166666666666667</v>
      </c>
      <c r="F7" s="4">
        <f>VLOOKUP($A7,monthly!$A$1:$E$721,5,FALSE)</f>
        <v>4.0799999999999992</v>
      </c>
    </row>
    <row r="8" spans="1:6" ht="15" x14ac:dyDescent="0.25">
      <c r="A8" s="1" t="s">
        <v>7</v>
      </c>
      <c r="B8" s="2">
        <v>4515.4269999999997</v>
      </c>
      <c r="C8" s="2">
        <v>16.594999999999999</v>
      </c>
      <c r="D8" s="5">
        <v>549.71199999999999</v>
      </c>
      <c r="E8" s="4">
        <f>VLOOKUP($A8,monthly!$A$1:$E$721,4,FALSE)</f>
        <v>2.64</v>
      </c>
      <c r="F8" s="4">
        <f>VLOOKUP($A8,monthly!$A$1:$E$721,5,FALSE)</f>
        <v>4.0766666666666671</v>
      </c>
    </row>
    <row r="9" spans="1:6" ht="15" x14ac:dyDescent="0.25">
      <c r="A9" s="1" t="s">
        <v>8</v>
      </c>
      <c r="B9" s="2">
        <v>4619.4579999999996</v>
      </c>
      <c r="C9" s="2">
        <v>16.709</v>
      </c>
      <c r="D9" s="5">
        <v>553.35199999999998</v>
      </c>
      <c r="E9" s="4">
        <f>VLOOKUP($A9,monthly!$A$1:$E$721,4,FALSE)</f>
        <v>2.6666666666666665</v>
      </c>
      <c r="F9" s="4">
        <f>VLOOKUP($A9,monthly!$A$1:$E$721,5,FALSE)</f>
        <v>4.166666666666667</v>
      </c>
    </row>
    <row r="10" spans="1:6" ht="15" x14ac:dyDescent="0.25">
      <c r="A10" s="1" t="s">
        <v>9</v>
      </c>
      <c r="B10" s="2">
        <v>4731.8879999999999</v>
      </c>
      <c r="C10" s="2">
        <v>16.815999999999999</v>
      </c>
      <c r="D10" s="5">
        <v>597.56299999999999</v>
      </c>
      <c r="E10" s="4">
        <f>VLOOKUP($A10,monthly!$A$1:$E$721,4,FALSE)</f>
        <v>2.69</v>
      </c>
      <c r="F10" s="4">
        <f>VLOOKUP($A10,monthly!$A$1:$E$721,5,FALSE)</f>
        <v>4.5599999999999996</v>
      </c>
    </row>
    <row r="11" spans="1:6" ht="15" x14ac:dyDescent="0.25">
      <c r="A11" s="1" t="s">
        <v>10</v>
      </c>
      <c r="B11" s="2">
        <v>4748.0460000000003</v>
      </c>
      <c r="C11" s="2">
        <v>16.954000000000001</v>
      </c>
      <c r="D11" s="5">
        <v>588.71699999999998</v>
      </c>
      <c r="E11" s="4">
        <f>VLOOKUP($A11,monthly!$A$1:$E$721,4,FALSE)</f>
        <v>2.72</v>
      </c>
      <c r="F11" s="4">
        <f>VLOOKUP($A11,monthly!$A$1:$E$721,5,FALSE)</f>
        <v>4.9133333333333331</v>
      </c>
    </row>
    <row r="12" spans="1:6" ht="15" x14ac:dyDescent="0.25">
      <c r="A12" s="1" t="s">
        <v>11</v>
      </c>
      <c r="B12" s="2">
        <v>4788.2539999999999</v>
      </c>
      <c r="C12" s="2">
        <v>17.117999999999999</v>
      </c>
      <c r="D12" s="5">
        <v>584.37300000000005</v>
      </c>
      <c r="E12" s="4">
        <f>VLOOKUP($A12,monthly!$A$1:$E$721,4,FALSE)</f>
        <v>2.75</v>
      </c>
      <c r="F12" s="4">
        <f>VLOOKUP($A12,monthly!$A$1:$E$721,5,FALSE)</f>
        <v>5.41</v>
      </c>
    </row>
    <row r="13" spans="1:6" ht="15" x14ac:dyDescent="0.25">
      <c r="A13" s="1" t="s">
        <v>12</v>
      </c>
      <c r="B13" s="2">
        <v>4827.5370000000003</v>
      </c>
      <c r="C13" s="2">
        <v>17.260999999999999</v>
      </c>
      <c r="D13" s="5">
        <v>587.798</v>
      </c>
      <c r="E13" s="4">
        <f>VLOOKUP($A13,monthly!$A$1:$E$721,4,FALSE)</f>
        <v>2.7766666666666668</v>
      </c>
      <c r="F13" s="4">
        <f>VLOOKUP($A13,monthly!$A$1:$E$721,5,FALSE)</f>
        <v>5.5633333333333326</v>
      </c>
    </row>
    <row r="14" spans="1:6" ht="15" x14ac:dyDescent="0.25">
      <c r="A14" s="1" t="s">
        <v>13</v>
      </c>
      <c r="B14" s="2">
        <v>4870.299</v>
      </c>
      <c r="C14" s="2">
        <v>17.332999999999998</v>
      </c>
      <c r="D14" s="5">
        <v>573.37300000000005</v>
      </c>
      <c r="E14" s="4">
        <f>VLOOKUP($A14,monthly!$A$1:$E$721,4,FALSE)</f>
        <v>2.8066666666666666</v>
      </c>
      <c r="F14" s="4">
        <f>VLOOKUP($A14,monthly!$A$1:$E$721,5,FALSE)</f>
        <v>4.8233333333333341</v>
      </c>
    </row>
    <row r="15" spans="1:6" ht="15" x14ac:dyDescent="0.25">
      <c r="A15" s="1" t="s">
        <v>14</v>
      </c>
      <c r="B15" s="2">
        <v>4873.2870000000003</v>
      </c>
      <c r="C15" s="2">
        <v>17.420999999999999</v>
      </c>
      <c r="D15" s="5">
        <v>552.62900000000002</v>
      </c>
      <c r="E15" s="4">
        <f>VLOOKUP($A15,monthly!$A$1:$E$721,4,FALSE)</f>
        <v>2.8333333333333335</v>
      </c>
      <c r="F15" s="4">
        <f>VLOOKUP($A15,monthly!$A$1:$E$721,5,FALSE)</f>
        <v>3.99</v>
      </c>
    </row>
    <row r="16" spans="1:6" ht="15" x14ac:dyDescent="0.25">
      <c r="A16" s="1" t="s">
        <v>15</v>
      </c>
      <c r="B16" s="2">
        <v>4919.3919999999998</v>
      </c>
      <c r="C16" s="2">
        <v>17.588000000000001</v>
      </c>
      <c r="D16" s="5">
        <v>568.83299999999997</v>
      </c>
      <c r="E16" s="4">
        <f>VLOOKUP($A16,monthly!$A$1:$E$721,4,FALSE)</f>
        <v>2.8733333333333335</v>
      </c>
      <c r="F16" s="4">
        <f>VLOOKUP($A16,monthly!$A$1:$E$721,5,FALSE)</f>
        <v>3.8933333333333331</v>
      </c>
    </row>
    <row r="17" spans="1:6" ht="15" x14ac:dyDescent="0.25">
      <c r="A17" s="1" t="s">
        <v>16</v>
      </c>
      <c r="B17" s="2">
        <v>4956.4769999999999</v>
      </c>
      <c r="C17" s="2">
        <v>17.783999999999999</v>
      </c>
      <c r="D17" s="5">
        <v>581.10400000000004</v>
      </c>
      <c r="E17" s="4">
        <f>VLOOKUP($A17,monthly!$A$1:$E$721,4,FALSE)</f>
        <v>2.9066666666666667</v>
      </c>
      <c r="F17" s="4">
        <f>VLOOKUP($A17,monthly!$A$1:$E$721,5,FALSE)</f>
        <v>4.1733333333333329</v>
      </c>
    </row>
    <row r="18" spans="1:6" ht="15" x14ac:dyDescent="0.25">
      <c r="A18" s="1" t="s">
        <v>17</v>
      </c>
      <c r="B18" s="2">
        <v>5057.5529999999999</v>
      </c>
      <c r="C18" s="2">
        <v>17.981000000000002</v>
      </c>
      <c r="D18" s="5">
        <v>592.75400000000002</v>
      </c>
      <c r="E18" s="4">
        <f>VLOOKUP($A18,monthly!$A$1:$E$721,4,FALSE)</f>
        <v>2.9533333333333336</v>
      </c>
      <c r="F18" s="4">
        <f>VLOOKUP($A18,monthly!$A$1:$E$721,5,FALSE)</f>
        <v>4.79</v>
      </c>
    </row>
    <row r="19" spans="1:6" ht="15" x14ac:dyDescent="0.25">
      <c r="A19" s="1" t="s">
        <v>18</v>
      </c>
      <c r="B19" s="2">
        <v>5142.0330000000004</v>
      </c>
      <c r="C19" s="2">
        <v>18.170999999999999</v>
      </c>
      <c r="D19" s="5">
        <v>615.42700000000002</v>
      </c>
      <c r="E19" s="4">
        <f>VLOOKUP($A19,monthly!$A$1:$E$721,4,FALSE)</f>
        <v>3</v>
      </c>
      <c r="F19" s="4">
        <f>VLOOKUP($A19,monthly!$A$1:$E$721,5,FALSE)</f>
        <v>5.9833333333333334</v>
      </c>
    </row>
    <row r="20" spans="1:6" ht="15" x14ac:dyDescent="0.25">
      <c r="A20" s="1" t="s">
        <v>19</v>
      </c>
      <c r="B20" s="2">
        <v>5181.8590000000004</v>
      </c>
      <c r="C20" s="2">
        <v>18.349</v>
      </c>
      <c r="D20" s="5">
        <v>598.64300000000003</v>
      </c>
      <c r="E20" s="4">
        <f>VLOOKUP($A20,monthly!$A$1:$E$721,4,FALSE)</f>
        <v>3.0466666666666669</v>
      </c>
      <c r="F20" s="4">
        <f>VLOOKUP($A20,monthly!$A$1:$E$721,5,FALSE)</f>
        <v>5.9466666666666663</v>
      </c>
    </row>
    <row r="21" spans="1:6" ht="15" x14ac:dyDescent="0.25">
      <c r="A21" s="1" t="s">
        <v>20</v>
      </c>
      <c r="B21" s="2">
        <v>5202.2120000000004</v>
      </c>
      <c r="C21" s="2">
        <v>18.608000000000001</v>
      </c>
      <c r="D21" s="5">
        <v>605.15499999999997</v>
      </c>
      <c r="E21" s="4">
        <f>VLOOKUP($A21,monthly!$A$1:$E$721,4,FALSE)</f>
        <v>3.0966666666666662</v>
      </c>
      <c r="F21" s="4">
        <f>VLOOKUP($A21,monthly!$A$1:$E$721,5,FALSE)</f>
        <v>5.916666666666667</v>
      </c>
    </row>
    <row r="22" spans="1:6" ht="15" x14ac:dyDescent="0.25">
      <c r="A22" s="1" t="s">
        <v>21</v>
      </c>
      <c r="B22" s="2">
        <v>5283.5969999999998</v>
      </c>
      <c r="C22" s="2">
        <v>18.8</v>
      </c>
      <c r="D22" s="5">
        <v>640.79</v>
      </c>
      <c r="E22" s="4">
        <f>VLOOKUP($A22,monthly!$A$1:$E$721,4,FALSE)</f>
        <v>3.14</v>
      </c>
      <c r="F22" s="4">
        <f>VLOOKUP($A22,monthly!$A$1:$E$721,5,FALSE)</f>
        <v>6.5666666666666664</v>
      </c>
    </row>
    <row r="23" spans="1:6" ht="15" x14ac:dyDescent="0.25">
      <c r="A23" s="1" t="s">
        <v>22</v>
      </c>
      <c r="B23" s="2">
        <v>5299.625</v>
      </c>
      <c r="C23" s="2">
        <v>19.039000000000001</v>
      </c>
      <c r="D23" s="5">
        <v>637.01499999999999</v>
      </c>
      <c r="E23" s="4">
        <f>VLOOKUP($A23,monthly!$A$1:$E$721,4,FALSE)</f>
        <v>3.1933333333333334</v>
      </c>
      <c r="F23" s="4">
        <f>VLOOKUP($A23,monthly!$A$1:$E$721,5,FALSE)</f>
        <v>8.3266666666666662</v>
      </c>
    </row>
    <row r="24" spans="1:6" ht="15" x14ac:dyDescent="0.25">
      <c r="A24" s="1" t="s">
        <v>23</v>
      </c>
      <c r="B24" s="2">
        <v>5334.6</v>
      </c>
      <c r="C24" s="2">
        <v>19.306999999999999</v>
      </c>
      <c r="D24" s="5">
        <v>649.94799999999998</v>
      </c>
      <c r="E24" s="4">
        <f>VLOOKUP($A24,monthly!$A$1:$E$721,4,FALSE)</f>
        <v>3.24</v>
      </c>
      <c r="F24" s="4">
        <f>VLOOKUP($A24,monthly!$A$1:$E$721,5,FALSE)</f>
        <v>8.9833333333333325</v>
      </c>
    </row>
    <row r="25" spans="1:6" ht="15" x14ac:dyDescent="0.25">
      <c r="A25" s="1" t="s">
        <v>24</v>
      </c>
      <c r="B25" s="2">
        <v>5308.5559999999996</v>
      </c>
      <c r="C25" s="2">
        <v>19.556000000000001</v>
      </c>
      <c r="D25" s="5">
        <v>618.56500000000005</v>
      </c>
      <c r="E25" s="4">
        <f>VLOOKUP($A25,monthly!$A$1:$E$721,4,FALSE)</f>
        <v>3.2966666666666669</v>
      </c>
      <c r="F25" s="4">
        <f>VLOOKUP($A25,monthly!$A$1:$E$721,5,FALSE)</f>
        <v>8.94</v>
      </c>
    </row>
    <row r="26" spans="1:6" ht="15" x14ac:dyDescent="0.25">
      <c r="A26" s="1" t="s">
        <v>25</v>
      </c>
      <c r="B26" s="2">
        <v>5300.652</v>
      </c>
      <c r="C26" s="2">
        <v>19.832000000000001</v>
      </c>
      <c r="D26" s="5">
        <v>600.11599999999999</v>
      </c>
      <c r="E26" s="4">
        <f>VLOOKUP($A26,monthly!$A$1:$E$721,4,FALSE)</f>
        <v>3.3333333333333335</v>
      </c>
      <c r="F26" s="4">
        <f>VLOOKUP($A26,monthly!$A$1:$E$721,5,FALSE)</f>
        <v>8.5733333333333324</v>
      </c>
    </row>
    <row r="27" spans="1:6" ht="15" x14ac:dyDescent="0.25">
      <c r="A27" s="1" t="s">
        <v>26</v>
      </c>
      <c r="B27" s="2">
        <v>5308.1639999999998</v>
      </c>
      <c r="C27" s="2">
        <v>20.108000000000001</v>
      </c>
      <c r="D27" s="5">
        <v>601.42100000000005</v>
      </c>
      <c r="E27" s="4">
        <f>VLOOKUP($A27,monthly!$A$1:$E$721,4,FALSE)</f>
        <v>3.3766666666666669</v>
      </c>
      <c r="F27" s="4">
        <f>VLOOKUP($A27,monthly!$A$1:$E$721,5,FALSE)</f>
        <v>7.8866666666666667</v>
      </c>
    </row>
    <row r="28" spans="1:6" ht="15" x14ac:dyDescent="0.25">
      <c r="A28" s="1" t="s">
        <v>27</v>
      </c>
      <c r="B28" s="2">
        <v>5357.0770000000002</v>
      </c>
      <c r="C28" s="2">
        <v>20.273</v>
      </c>
      <c r="D28" s="5">
        <v>611.20799999999997</v>
      </c>
      <c r="E28" s="4">
        <f>VLOOKUP($A28,monthly!$A$1:$E$721,4,FALSE)</f>
        <v>3.4333333333333336</v>
      </c>
      <c r="F28" s="4">
        <f>VLOOKUP($A28,monthly!$A$1:$E$721,5,FALSE)</f>
        <v>6.706666666666667</v>
      </c>
    </row>
    <row r="29" spans="1:6" ht="15" x14ac:dyDescent="0.25">
      <c r="A29" s="1" t="s">
        <v>28</v>
      </c>
      <c r="B29" s="2">
        <v>5299.6719999999996</v>
      </c>
      <c r="C29" s="2">
        <v>20.541</v>
      </c>
      <c r="D29" s="5">
        <v>578.75699999999995</v>
      </c>
      <c r="E29" s="4">
        <f>VLOOKUP($A29,monthly!$A$1:$E$721,4,FALSE)</f>
        <v>3.4733333333333332</v>
      </c>
      <c r="F29" s="4">
        <f>VLOOKUP($A29,monthly!$A$1:$E$721,5,FALSE)</f>
        <v>5.5666666666666673</v>
      </c>
    </row>
    <row r="30" spans="1:6" ht="15" x14ac:dyDescent="0.25">
      <c r="A30" s="1" t="s">
        <v>29</v>
      </c>
      <c r="B30" s="2">
        <v>5443.6189999999997</v>
      </c>
      <c r="C30" s="2">
        <v>20.853000000000002</v>
      </c>
      <c r="D30" s="5">
        <v>646.23199999999997</v>
      </c>
      <c r="E30" s="4">
        <f>VLOOKUP($A30,monthly!$A$1:$E$721,4,FALSE)</f>
        <v>3.5466666666666669</v>
      </c>
      <c r="F30" s="4">
        <f>VLOOKUP($A30,monthly!$A$1:$E$721,5,FALSE)</f>
        <v>3.8566666666666669</v>
      </c>
    </row>
    <row r="31" spans="1:6" ht="15" x14ac:dyDescent="0.25">
      <c r="A31" s="1" t="s">
        <v>30</v>
      </c>
      <c r="B31" s="2">
        <v>5473.0590000000002</v>
      </c>
      <c r="C31" s="2">
        <v>21.126999999999999</v>
      </c>
      <c r="D31" s="5">
        <v>664.56899999999996</v>
      </c>
      <c r="E31" s="4">
        <f>VLOOKUP($A31,monthly!$A$1:$E$721,4,FALSE)</f>
        <v>3.6033333333333331</v>
      </c>
      <c r="F31" s="4">
        <f>VLOOKUP($A31,monthly!$A$1:$E$721,5,FALSE)</f>
        <v>4.5666666666666664</v>
      </c>
    </row>
    <row r="32" spans="1:6" ht="15" x14ac:dyDescent="0.25">
      <c r="A32" s="1" t="s">
        <v>31</v>
      </c>
      <c r="B32" s="2">
        <v>5518.0720000000001</v>
      </c>
      <c r="C32" s="2">
        <v>21.341999999999999</v>
      </c>
      <c r="D32" s="5">
        <v>672.63199999999995</v>
      </c>
      <c r="E32" s="4">
        <f>VLOOKUP($A32,monthly!$A$1:$E$721,4,FALSE)</f>
        <v>3.6533333333333338</v>
      </c>
      <c r="F32" s="4">
        <f>VLOOKUP($A32,monthly!$A$1:$E$721,5,FALSE)</f>
        <v>5.4766666666666666</v>
      </c>
    </row>
    <row r="33" spans="1:6" ht="15" x14ac:dyDescent="0.25">
      <c r="A33" s="1" t="s">
        <v>32</v>
      </c>
      <c r="B33" s="2">
        <v>5531.0320000000002</v>
      </c>
      <c r="C33" s="2">
        <v>21.52</v>
      </c>
      <c r="D33" s="5">
        <v>654.51900000000001</v>
      </c>
      <c r="E33" s="4">
        <f>VLOOKUP($A33,monthly!$A$1:$E$721,4,FALSE)</f>
        <v>3.7033333333333336</v>
      </c>
      <c r="F33" s="4">
        <f>VLOOKUP($A33,monthly!$A$1:$E$721,5,FALSE)</f>
        <v>4.75</v>
      </c>
    </row>
    <row r="34" spans="1:6" ht="15" x14ac:dyDescent="0.25">
      <c r="A34" s="1" t="s">
        <v>33</v>
      </c>
      <c r="B34" s="2">
        <v>5632.6490000000003</v>
      </c>
      <c r="C34" s="2">
        <v>21.847999999999999</v>
      </c>
      <c r="D34" s="5">
        <v>697.64800000000002</v>
      </c>
      <c r="E34" s="4">
        <f>VLOOKUP($A34,monthly!$A$1:$E$721,4,FALSE)</f>
        <v>3.82</v>
      </c>
      <c r="F34" s="4">
        <f>VLOOKUP($A34,monthly!$A$1:$E$721,5,FALSE)</f>
        <v>3.5466666666666669</v>
      </c>
    </row>
    <row r="35" spans="1:6" ht="15" x14ac:dyDescent="0.25">
      <c r="A35" s="1" t="s">
        <v>34</v>
      </c>
      <c r="B35" s="2">
        <v>5760.47</v>
      </c>
      <c r="C35" s="2">
        <v>21.984000000000002</v>
      </c>
      <c r="D35" s="5">
        <v>737.27599999999995</v>
      </c>
      <c r="E35" s="4">
        <f>VLOOKUP($A35,monthly!$A$1:$E$721,4,FALSE)</f>
        <v>3.8733333333333335</v>
      </c>
      <c r="F35" s="4">
        <f>VLOOKUP($A35,monthly!$A$1:$E$721,5,FALSE)</f>
        <v>4.3</v>
      </c>
    </row>
    <row r="36" spans="1:6" ht="15" x14ac:dyDescent="0.25">
      <c r="A36" s="1" t="s">
        <v>35</v>
      </c>
      <c r="B36" s="2">
        <v>5814.8540000000003</v>
      </c>
      <c r="C36" s="2">
        <v>22.193999999999999</v>
      </c>
      <c r="D36" s="5">
        <v>747.745</v>
      </c>
      <c r="E36" s="4">
        <f>VLOOKUP($A36,monthly!$A$1:$E$721,4,FALSE)</f>
        <v>3.92</v>
      </c>
      <c r="F36" s="4">
        <f>VLOOKUP($A36,monthly!$A$1:$E$721,5,FALSE)</f>
        <v>4.7433333333333332</v>
      </c>
    </row>
    <row r="37" spans="1:6" ht="15" x14ac:dyDescent="0.25">
      <c r="A37" s="1" t="s">
        <v>36</v>
      </c>
      <c r="B37" s="2">
        <v>5912.22</v>
      </c>
      <c r="C37" s="2">
        <v>22.477</v>
      </c>
      <c r="D37" s="5">
        <v>752.43399999999997</v>
      </c>
      <c r="E37" s="4">
        <f>VLOOKUP($A37,monthly!$A$1:$E$721,4,FALSE)</f>
        <v>3.9866666666666668</v>
      </c>
      <c r="F37" s="4">
        <f>VLOOKUP($A37,monthly!$A$1:$E$721,5,FALSE)</f>
        <v>5.1466666666666665</v>
      </c>
    </row>
    <row r="38" spans="1:6" ht="15" x14ac:dyDescent="0.25">
      <c r="A38" s="1" t="s">
        <v>37</v>
      </c>
      <c r="B38" s="2">
        <v>6058.5439999999999</v>
      </c>
      <c r="C38" s="2">
        <v>22.736000000000001</v>
      </c>
      <c r="D38" s="5">
        <v>796.53</v>
      </c>
      <c r="E38" s="4">
        <f>VLOOKUP($A38,monthly!$A$1:$E$721,4,FALSE)</f>
        <v>4.0466666666666669</v>
      </c>
      <c r="F38" s="4">
        <f>VLOOKUP($A38,monthly!$A$1:$E$721,5,FALSE)</f>
        <v>6.5366666666666662</v>
      </c>
    </row>
    <row r="39" spans="1:6" ht="15" x14ac:dyDescent="0.25">
      <c r="A39" s="1" t="s">
        <v>38</v>
      </c>
      <c r="B39" s="2">
        <v>6124.5060000000003</v>
      </c>
      <c r="C39" s="2">
        <v>23.085999999999999</v>
      </c>
      <c r="D39" s="5">
        <v>830.48299999999995</v>
      </c>
      <c r="E39" s="4">
        <f>VLOOKUP($A39,monthly!$A$1:$E$721,4,FALSE)</f>
        <v>4.1033333333333326</v>
      </c>
      <c r="F39" s="4">
        <f>VLOOKUP($A39,monthly!$A$1:$E$721,5,FALSE)</f>
        <v>7.8166666666666673</v>
      </c>
    </row>
    <row r="40" spans="1:6" ht="15" x14ac:dyDescent="0.25">
      <c r="A40" s="1" t="s">
        <v>39</v>
      </c>
      <c r="B40" s="2">
        <v>6092.3010000000004</v>
      </c>
      <c r="C40" s="2">
        <v>23.535</v>
      </c>
      <c r="D40" s="5">
        <v>800.37</v>
      </c>
      <c r="E40" s="4">
        <f>VLOOKUP($A40,monthly!$A$1:$E$721,4,FALSE)</f>
        <v>4.1700000000000008</v>
      </c>
      <c r="F40" s="4">
        <f>VLOOKUP($A40,monthly!$A$1:$E$721,5,FALSE)</f>
        <v>10.56</v>
      </c>
    </row>
    <row r="41" spans="1:6" ht="15" x14ac:dyDescent="0.25">
      <c r="A41" s="1" t="s">
        <v>40</v>
      </c>
      <c r="B41" s="2">
        <v>6150.1310000000003</v>
      </c>
      <c r="C41" s="2">
        <v>24.004000000000001</v>
      </c>
      <c r="D41" s="5">
        <v>828.87900000000002</v>
      </c>
      <c r="E41" s="4">
        <f>VLOOKUP($A41,monthly!$A$1:$E$721,4,FALSE)</f>
        <v>4.2333333333333334</v>
      </c>
      <c r="F41" s="4">
        <f>VLOOKUP($A41,monthly!$A$1:$E$721,5,FALSE)</f>
        <v>9.9966666666666661</v>
      </c>
    </row>
    <row r="42" spans="1:6" ht="15" x14ac:dyDescent="0.25">
      <c r="A42" s="1" t="s">
        <v>41</v>
      </c>
      <c r="B42" s="2">
        <v>6097.2579999999998</v>
      </c>
      <c r="C42" s="2">
        <v>24.457000000000001</v>
      </c>
      <c r="D42" s="5">
        <v>781.54399999999998</v>
      </c>
      <c r="E42" s="4">
        <f>VLOOKUP($A42,monthly!$A$1:$E$721,4,FALSE)</f>
        <v>4.293333333333333</v>
      </c>
      <c r="F42" s="4">
        <f>VLOOKUP($A42,monthly!$A$1:$E$721,5,FALSE)</f>
        <v>9.3233333333333324</v>
      </c>
    </row>
    <row r="43" spans="1:6" ht="15" x14ac:dyDescent="0.25">
      <c r="A43" s="1" t="s">
        <v>42</v>
      </c>
      <c r="B43" s="2">
        <v>6111.7510000000002</v>
      </c>
      <c r="C43" s="2">
        <v>25.035</v>
      </c>
      <c r="D43" s="5">
        <v>778.42499999999995</v>
      </c>
      <c r="E43" s="4">
        <f>VLOOKUP($A43,monthly!$A$1:$E$721,4,FALSE)</f>
        <v>4.3900000000000006</v>
      </c>
      <c r="F43" s="4">
        <f>VLOOKUP($A43,monthly!$A$1:$E$721,5,FALSE)</f>
        <v>11.25</v>
      </c>
    </row>
    <row r="44" spans="1:6" ht="15" x14ac:dyDescent="0.25">
      <c r="A44" s="1" t="s">
        <v>43</v>
      </c>
      <c r="B44" s="2">
        <v>6053.9780000000001</v>
      </c>
      <c r="C44" s="2">
        <v>25.768999999999998</v>
      </c>
      <c r="D44" s="5">
        <v>738.08</v>
      </c>
      <c r="E44" s="4">
        <f>VLOOKUP($A44,monthly!$A$1:$E$721,4,FALSE)</f>
        <v>4.4900000000000011</v>
      </c>
      <c r="F44" s="4">
        <f>VLOOKUP($A44,monthly!$A$1:$E$721,5,FALSE)</f>
        <v>12.089999999999998</v>
      </c>
    </row>
    <row r="45" spans="1:6" ht="15" x14ac:dyDescent="0.25">
      <c r="A45" s="1" t="s">
        <v>44</v>
      </c>
      <c r="B45" s="2">
        <v>6030.4639999999999</v>
      </c>
      <c r="C45" s="2">
        <v>26.527000000000001</v>
      </c>
      <c r="D45" s="5">
        <v>742.56</v>
      </c>
      <c r="E45" s="4">
        <f>VLOOKUP($A45,monthly!$A$1:$E$721,4,FALSE)</f>
        <v>4.5766666666666662</v>
      </c>
      <c r="F45" s="4">
        <f>VLOOKUP($A45,monthly!$A$1:$E$721,5,FALSE)</f>
        <v>9.3466666666666658</v>
      </c>
    </row>
    <row r="46" spans="1:6" ht="15" x14ac:dyDescent="0.25">
      <c r="A46" s="1" t="s">
        <v>45</v>
      </c>
      <c r="B46" s="2">
        <v>5957.0349999999999</v>
      </c>
      <c r="C46" s="2">
        <v>27.13</v>
      </c>
      <c r="D46" s="5">
        <v>622.94899999999996</v>
      </c>
      <c r="E46" s="4">
        <f>VLOOKUP($A46,monthly!$A$1:$E$721,4,FALSE)</f>
        <v>4.6399999999999997</v>
      </c>
      <c r="F46" s="4">
        <f>VLOOKUP($A46,monthly!$A$1:$E$721,5,FALSE)</f>
        <v>6.3033333333333337</v>
      </c>
    </row>
    <row r="47" spans="1:6" ht="15" x14ac:dyDescent="0.25">
      <c r="A47" s="1" t="s">
        <v>46</v>
      </c>
      <c r="B47" s="2">
        <v>5999.61</v>
      </c>
      <c r="C47" s="2">
        <v>27.533000000000001</v>
      </c>
      <c r="D47" s="5">
        <v>604.40300000000002</v>
      </c>
      <c r="E47" s="4">
        <f>VLOOKUP($A47,monthly!$A$1:$E$721,4,FALSE)</f>
        <v>4.6933333333333325</v>
      </c>
      <c r="F47" s="4">
        <f>VLOOKUP($A47,monthly!$A$1:$E$721,5,FALSE)</f>
        <v>5.4200000000000008</v>
      </c>
    </row>
    <row r="48" spans="1:6" ht="15" x14ac:dyDescent="0.25">
      <c r="A48" s="1" t="s">
        <v>47</v>
      </c>
      <c r="B48" s="2">
        <v>6102.326</v>
      </c>
      <c r="C48" s="2">
        <v>28.018999999999998</v>
      </c>
      <c r="D48" s="5">
        <v>651.26</v>
      </c>
      <c r="E48" s="4">
        <f>VLOOKUP($A48,monthly!$A$1:$E$721,4,FALSE)</f>
        <v>4.7699999999999996</v>
      </c>
      <c r="F48" s="4">
        <f>VLOOKUP($A48,monthly!$A$1:$E$721,5,FALSE)</f>
        <v>6.1599999999999993</v>
      </c>
    </row>
    <row r="49" spans="1:6" ht="15" x14ac:dyDescent="0.25">
      <c r="A49" s="1" t="s">
        <v>48</v>
      </c>
      <c r="B49" s="2">
        <v>6184.53</v>
      </c>
      <c r="C49" s="2">
        <v>28.488</v>
      </c>
      <c r="D49" s="5">
        <v>669.43799999999999</v>
      </c>
      <c r="E49" s="4">
        <f>VLOOKUP($A49,monthly!$A$1:$E$721,4,FALSE)</f>
        <v>4.8500000000000005</v>
      </c>
      <c r="F49" s="4">
        <f>VLOOKUP($A49,monthly!$A$1:$E$721,5,FALSE)</f>
        <v>5.4133333333333331</v>
      </c>
    </row>
    <row r="50" spans="1:6" ht="15" x14ac:dyDescent="0.25">
      <c r="A50" s="1" t="s">
        <v>49</v>
      </c>
      <c r="B50" s="2">
        <v>6323.6490000000003</v>
      </c>
      <c r="C50" s="2">
        <v>28.789000000000001</v>
      </c>
      <c r="D50" s="5">
        <v>734.03099999999995</v>
      </c>
      <c r="E50" s="4">
        <f>VLOOKUP($A50,monthly!$A$1:$E$721,4,FALSE)</f>
        <v>4.9266666666666667</v>
      </c>
      <c r="F50" s="4">
        <f>VLOOKUP($A50,monthly!$A$1:$E$721,5,FALSE)</f>
        <v>4.8266666666666671</v>
      </c>
    </row>
    <row r="51" spans="1:6" ht="15" x14ac:dyDescent="0.25">
      <c r="A51" s="1" t="s">
        <v>50</v>
      </c>
      <c r="B51" s="2">
        <v>6370.0249999999996</v>
      </c>
      <c r="C51" s="2">
        <v>29.079000000000001</v>
      </c>
      <c r="D51" s="5">
        <v>763.08299999999997</v>
      </c>
      <c r="E51" s="4">
        <f>VLOOKUP($A51,monthly!$A$1:$E$721,4,FALSE)</f>
        <v>5.0066666666666668</v>
      </c>
      <c r="F51" s="4">
        <f>VLOOKUP($A51,monthly!$A$1:$E$721,5,FALSE)</f>
        <v>5.1966666666666663</v>
      </c>
    </row>
    <row r="52" spans="1:6" ht="15" x14ac:dyDescent="0.25">
      <c r="A52" s="1" t="s">
        <v>51</v>
      </c>
      <c r="B52" s="2">
        <v>6404.8950000000004</v>
      </c>
      <c r="C52" s="2">
        <v>29.454999999999998</v>
      </c>
      <c r="D52" s="5">
        <v>765.74199999999996</v>
      </c>
      <c r="E52" s="4">
        <f>VLOOKUP($A52,monthly!$A$1:$E$721,4,FALSE)</f>
        <v>5.1033333333333326</v>
      </c>
      <c r="F52" s="4">
        <f>VLOOKUP($A52,monthly!$A$1:$E$721,5,FALSE)</f>
        <v>5.2833333333333332</v>
      </c>
    </row>
    <row r="53" spans="1:6" ht="15" x14ac:dyDescent="0.25">
      <c r="A53" s="1" t="s">
        <v>52</v>
      </c>
      <c r="B53" s="2">
        <v>6451.1769999999997</v>
      </c>
      <c r="C53" s="2">
        <v>29.983000000000001</v>
      </c>
      <c r="D53" s="5">
        <v>771.471</v>
      </c>
      <c r="E53" s="4">
        <f>VLOOKUP($A53,monthly!$A$1:$E$721,4,FALSE)</f>
        <v>5.2</v>
      </c>
      <c r="F53" s="4">
        <f>VLOOKUP($A53,monthly!$A$1:$E$721,5,FALSE)</f>
        <v>4.8733333333333331</v>
      </c>
    </row>
    <row r="54" spans="1:6" ht="15" x14ac:dyDescent="0.25">
      <c r="A54" s="1" t="s">
        <v>53</v>
      </c>
      <c r="B54" s="2">
        <v>6527.7030000000004</v>
      </c>
      <c r="C54" s="2">
        <v>30.465</v>
      </c>
      <c r="D54" s="5">
        <v>807.21299999999997</v>
      </c>
      <c r="E54" s="4">
        <f>VLOOKUP($A54,monthly!$A$1:$E$721,4,FALSE)</f>
        <v>5.293333333333333</v>
      </c>
      <c r="F54" s="4">
        <f>VLOOKUP($A54,monthly!$A$1:$E$721,5,FALSE)</f>
        <v>4.66</v>
      </c>
    </row>
    <row r="55" spans="1:6" ht="15" x14ac:dyDescent="0.25">
      <c r="A55" s="1" t="s">
        <v>54</v>
      </c>
      <c r="B55" s="2">
        <v>6654.4660000000003</v>
      </c>
      <c r="C55" s="2">
        <v>30.895</v>
      </c>
      <c r="D55" s="5">
        <v>865.08299999999997</v>
      </c>
      <c r="E55" s="4">
        <f>VLOOKUP($A55,monthly!$A$1:$E$721,4,FALSE)</f>
        <v>5.3933333333333335</v>
      </c>
      <c r="F55" s="4">
        <f>VLOOKUP($A55,monthly!$A$1:$E$721,5,FALSE)</f>
        <v>5.1566666666666663</v>
      </c>
    </row>
    <row r="56" spans="1:6" ht="15" x14ac:dyDescent="0.25">
      <c r="A56" s="1" t="s">
        <v>55</v>
      </c>
      <c r="B56" s="2">
        <v>6774.4570000000003</v>
      </c>
      <c r="C56" s="2">
        <v>31.271000000000001</v>
      </c>
      <c r="D56" s="5">
        <v>908.85900000000004</v>
      </c>
      <c r="E56" s="4">
        <f>VLOOKUP($A56,monthly!$A$1:$E$721,4,FALSE)</f>
        <v>5.4833333333333343</v>
      </c>
      <c r="F56" s="4">
        <f>VLOOKUP($A56,monthly!$A$1:$E$721,5,FALSE)</f>
        <v>5.82</v>
      </c>
    </row>
    <row r="57" spans="1:6" ht="15" x14ac:dyDescent="0.25">
      <c r="A57" s="1" t="s">
        <v>56</v>
      </c>
      <c r="B57" s="2">
        <v>6774.5919999999996</v>
      </c>
      <c r="C57" s="2">
        <v>31.946999999999999</v>
      </c>
      <c r="D57" s="5">
        <v>886.06</v>
      </c>
      <c r="E57" s="4">
        <f>VLOOKUP($A57,monthly!$A$1:$E$721,4,FALSE)</f>
        <v>5.5799999999999992</v>
      </c>
      <c r="F57" s="4">
        <f>VLOOKUP($A57,monthly!$A$1:$E$721,5,FALSE)</f>
        <v>6.5133333333333328</v>
      </c>
    </row>
    <row r="58" spans="1:6" ht="15" x14ac:dyDescent="0.25">
      <c r="A58" s="1" t="s">
        <v>57</v>
      </c>
      <c r="B58" s="2">
        <v>6796.26</v>
      </c>
      <c r="C58" s="2">
        <v>32.411000000000001</v>
      </c>
      <c r="D58" s="5">
        <v>903.32899999999995</v>
      </c>
      <c r="E58" s="4">
        <f>VLOOKUP($A58,monthly!$A$1:$E$721,4,FALSE)</f>
        <v>5.6933333333333342</v>
      </c>
      <c r="F58" s="4">
        <f>VLOOKUP($A58,monthly!$A$1:$E$721,5,FALSE)</f>
        <v>6.7566666666666668</v>
      </c>
    </row>
    <row r="59" spans="1:6" ht="15" x14ac:dyDescent="0.25">
      <c r="A59" s="1" t="s">
        <v>58</v>
      </c>
      <c r="B59" s="2">
        <v>7058.92</v>
      </c>
      <c r="C59" s="2">
        <v>33.030999999999999</v>
      </c>
      <c r="D59" s="5">
        <v>962.00099999999998</v>
      </c>
      <c r="E59" s="4">
        <f>VLOOKUP($A59,monthly!$A$1:$E$721,4,FALSE)</f>
        <v>5.8233333333333333</v>
      </c>
      <c r="F59" s="4">
        <f>VLOOKUP($A59,monthly!$A$1:$E$721,5,FALSE)</f>
        <v>7.2833333333333341</v>
      </c>
    </row>
    <row r="60" spans="1:6" ht="15" x14ac:dyDescent="0.25">
      <c r="A60" s="1" t="s">
        <v>59</v>
      </c>
      <c r="B60" s="2">
        <v>7129.915</v>
      </c>
      <c r="C60" s="2">
        <v>33.591999999999999</v>
      </c>
      <c r="D60" s="5">
        <v>990.029</v>
      </c>
      <c r="E60" s="4">
        <f>VLOOKUP($A60,monthly!$A$1:$E$721,4,FALSE)</f>
        <v>5.93</v>
      </c>
      <c r="F60" s="4">
        <f>VLOOKUP($A60,monthly!$A$1:$E$721,5,FALSE)</f>
        <v>8.1</v>
      </c>
    </row>
    <row r="61" spans="1:6" ht="15" x14ac:dyDescent="0.25">
      <c r="A61" s="1" t="s">
        <v>60</v>
      </c>
      <c r="B61" s="2">
        <v>7225.75</v>
      </c>
      <c r="C61" s="2">
        <v>34.279000000000003</v>
      </c>
      <c r="D61" s="5">
        <v>1012.924</v>
      </c>
      <c r="E61" s="4">
        <f>VLOOKUP($A61,monthly!$A$1:$E$721,4,FALSE)</f>
        <v>6.0566666666666675</v>
      </c>
      <c r="F61" s="4">
        <f>VLOOKUP($A61,monthly!$A$1:$E$721,5,FALSE)</f>
        <v>9.5833333333333339</v>
      </c>
    </row>
    <row r="62" spans="1:6" ht="15" x14ac:dyDescent="0.25">
      <c r="A62" s="1" t="s">
        <v>61</v>
      </c>
      <c r="B62" s="2">
        <v>7238.7269999999999</v>
      </c>
      <c r="C62" s="2">
        <v>34.904000000000003</v>
      </c>
      <c r="D62" s="5">
        <v>1014.607</v>
      </c>
      <c r="E62" s="4">
        <f>VLOOKUP($A62,monthly!$A$1:$E$721,4,FALSE)</f>
        <v>6.1766666666666659</v>
      </c>
      <c r="F62" s="4">
        <f>VLOOKUP($A62,monthly!$A$1:$E$721,5,FALSE)</f>
        <v>10.073333333333334</v>
      </c>
    </row>
    <row r="63" spans="1:6" ht="15" x14ac:dyDescent="0.25">
      <c r="A63" s="1" t="s">
        <v>62</v>
      </c>
      <c r="B63" s="2">
        <v>7246.4539999999997</v>
      </c>
      <c r="C63" s="2">
        <v>35.759</v>
      </c>
      <c r="D63" s="5">
        <v>1013.693</v>
      </c>
      <c r="E63" s="4">
        <f>VLOOKUP($A63,monthly!$A$1:$E$721,4,FALSE)</f>
        <v>6.2666666666666666</v>
      </c>
      <c r="F63" s="4">
        <f>VLOOKUP($A63,monthly!$A$1:$E$721,5,FALSE)</f>
        <v>10.18</v>
      </c>
    </row>
    <row r="64" spans="1:6" ht="15" x14ac:dyDescent="0.25">
      <c r="A64" s="1" t="s">
        <v>63</v>
      </c>
      <c r="B64" s="2">
        <v>7300.2809999999999</v>
      </c>
      <c r="C64" s="2">
        <v>36.540999999999997</v>
      </c>
      <c r="D64" s="5">
        <v>996.62199999999996</v>
      </c>
      <c r="E64" s="4">
        <f>VLOOKUP($A64,monthly!$A$1:$E$721,4,FALSE)</f>
        <v>6.4033333333333333</v>
      </c>
      <c r="F64" s="4">
        <f>VLOOKUP($A64,monthly!$A$1:$E$721,5,FALSE)</f>
        <v>10.946666666666667</v>
      </c>
    </row>
    <row r="65" spans="1:6" ht="15" x14ac:dyDescent="0.25">
      <c r="A65" s="1" t="s">
        <v>64</v>
      </c>
      <c r="B65" s="2">
        <v>7318.5349999999999</v>
      </c>
      <c r="C65" s="2">
        <v>37.219000000000001</v>
      </c>
      <c r="D65" s="5">
        <v>978.94299999999998</v>
      </c>
      <c r="E65" s="4">
        <f>VLOOKUP($A65,monthly!$A$1:$E$721,4,FALSE)</f>
        <v>6.5099999999999989</v>
      </c>
      <c r="F65" s="4">
        <f>VLOOKUP($A65,monthly!$A$1:$E$721,5,FALSE)</f>
        <v>13.576666666666666</v>
      </c>
    </row>
    <row r="66" spans="1:6" ht="15" x14ac:dyDescent="0.25">
      <c r="A66" s="1" t="s">
        <v>65</v>
      </c>
      <c r="B66" s="2">
        <v>7341.5569999999998</v>
      </c>
      <c r="C66" s="2">
        <v>38.000999999999998</v>
      </c>
      <c r="D66" s="5">
        <v>972.24800000000005</v>
      </c>
      <c r="E66" s="4">
        <f>VLOOKUP($A66,monthly!$A$1:$E$721,4,FALSE)</f>
        <v>6.63</v>
      </c>
      <c r="F66" s="4">
        <f>VLOOKUP($A66,monthly!$A$1:$E$721,5,FALSE)</f>
        <v>15.046666666666667</v>
      </c>
    </row>
    <row r="67" spans="1:6" ht="15" x14ac:dyDescent="0.25">
      <c r="A67" s="1" t="s">
        <v>66</v>
      </c>
      <c r="B67" s="2">
        <v>7190.2889999999998</v>
      </c>
      <c r="C67" s="2">
        <v>38.905000000000001</v>
      </c>
      <c r="D67" s="5">
        <v>889.57899999999995</v>
      </c>
      <c r="E67" s="4">
        <f>VLOOKUP($A67,monthly!$A$1:$E$721,4,FALSE)</f>
        <v>6.7666666666666666</v>
      </c>
      <c r="F67" s="4">
        <f>VLOOKUP($A67,monthly!$A$1:$E$721,5,FALSE)</f>
        <v>12.686666666666667</v>
      </c>
    </row>
    <row r="68" spans="1:6" ht="15" x14ac:dyDescent="0.25">
      <c r="A68" s="1" t="s">
        <v>67</v>
      </c>
      <c r="B68" s="2">
        <v>7181.7430000000004</v>
      </c>
      <c r="C68" s="2">
        <v>39.774000000000001</v>
      </c>
      <c r="D68" s="5">
        <v>830.86599999999999</v>
      </c>
      <c r="E68" s="4">
        <f>VLOOKUP($A68,monthly!$A$1:$E$721,4,FALSE)</f>
        <v>6.9066666666666663</v>
      </c>
      <c r="F68" s="4">
        <f>VLOOKUP($A68,monthly!$A$1:$E$721,5,FALSE)</f>
        <v>9.836666666666666</v>
      </c>
    </row>
    <row r="69" spans="1:6" ht="15" x14ac:dyDescent="0.25">
      <c r="A69" s="1" t="s">
        <v>68</v>
      </c>
      <c r="B69" s="2">
        <v>7315.6769999999997</v>
      </c>
      <c r="C69" s="2">
        <v>40.81</v>
      </c>
      <c r="D69" s="5">
        <v>908.30600000000004</v>
      </c>
      <c r="E69" s="4">
        <f>VLOOKUP($A69,monthly!$A$1:$E$721,4,FALSE)</f>
        <v>7.0799999999999992</v>
      </c>
      <c r="F69" s="4">
        <f>VLOOKUP($A69,monthly!$A$1:$E$721,5,FALSE)</f>
        <v>15.853333333333333</v>
      </c>
    </row>
    <row r="70" spans="1:6" ht="15" x14ac:dyDescent="0.25">
      <c r="A70" s="1" t="s">
        <v>69</v>
      </c>
      <c r="B70" s="2">
        <v>7459.0219999999999</v>
      </c>
      <c r="C70" s="2">
        <v>41.884999999999998</v>
      </c>
      <c r="D70" s="5">
        <v>992.37599999999998</v>
      </c>
      <c r="E70" s="4">
        <f>VLOOKUP($A70,monthly!$A$1:$E$721,4,FALSE)</f>
        <v>7.2333333333333334</v>
      </c>
      <c r="F70" s="4">
        <f>VLOOKUP($A70,monthly!$A$1:$E$721,5,FALSE)</f>
        <v>16.569999999999997</v>
      </c>
    </row>
    <row r="71" spans="1:6" ht="15" x14ac:dyDescent="0.25">
      <c r="A71" s="1" t="s">
        <v>70</v>
      </c>
      <c r="B71" s="2">
        <v>7403.7449999999999</v>
      </c>
      <c r="C71" s="2">
        <v>42.715000000000003</v>
      </c>
      <c r="D71" s="5">
        <v>951.24599999999998</v>
      </c>
      <c r="E71" s="4">
        <f>VLOOKUP($A71,monthly!$A$1:$E$721,4,FALSE)</f>
        <v>7.37</v>
      </c>
      <c r="F71" s="4">
        <f>VLOOKUP($A71,monthly!$A$1:$E$721,5,FALSE)</f>
        <v>17.78</v>
      </c>
    </row>
    <row r="72" spans="1:6" ht="15" x14ac:dyDescent="0.25">
      <c r="A72" s="1" t="s">
        <v>71</v>
      </c>
      <c r="B72" s="2">
        <v>7492.4049999999997</v>
      </c>
      <c r="C72" s="2">
        <v>43.518999999999998</v>
      </c>
      <c r="D72" s="5">
        <v>1004.861</v>
      </c>
      <c r="E72" s="4">
        <f>VLOOKUP($A72,monthly!$A$1:$E$721,4,FALSE)</f>
        <v>7.5099999999999989</v>
      </c>
      <c r="F72" s="4">
        <f>VLOOKUP($A72,monthly!$A$1:$E$721,5,FALSE)</f>
        <v>17.576666666666664</v>
      </c>
    </row>
    <row r="73" spans="1:6" ht="15" x14ac:dyDescent="0.25">
      <c r="A73" s="1" t="s">
        <v>72</v>
      </c>
      <c r="B73" s="2">
        <v>7410.768</v>
      </c>
      <c r="C73" s="2">
        <v>44.271000000000001</v>
      </c>
      <c r="D73" s="5">
        <v>969.47500000000002</v>
      </c>
      <c r="E73" s="4">
        <f>VLOOKUP($A73,monthly!$A$1:$E$721,4,FALSE)</f>
        <v>7.62</v>
      </c>
      <c r="F73" s="4">
        <f>VLOOKUP($A73,monthly!$A$1:$E$721,5,FALSE)</f>
        <v>13.586666666666666</v>
      </c>
    </row>
    <row r="74" spans="1:6" ht="15" x14ac:dyDescent="0.25">
      <c r="A74" s="1" t="s">
        <v>73</v>
      </c>
      <c r="B74" s="2">
        <v>7295.6310000000003</v>
      </c>
      <c r="C74" s="2">
        <v>44.88</v>
      </c>
      <c r="D74" s="5">
        <v>877.77200000000005</v>
      </c>
      <c r="E74" s="4">
        <f>VLOOKUP($A74,monthly!$A$1:$E$721,4,FALSE)</f>
        <v>7.7299999999999995</v>
      </c>
      <c r="F74" s="4">
        <f>VLOOKUP($A74,monthly!$A$1:$E$721,5,FALSE)</f>
        <v>14.226666666666667</v>
      </c>
    </row>
    <row r="75" spans="1:6" ht="15" x14ac:dyDescent="0.25">
      <c r="A75" s="1" t="s">
        <v>74</v>
      </c>
      <c r="B75" s="2">
        <v>7328.9120000000003</v>
      </c>
      <c r="C75" s="2">
        <v>45.463000000000001</v>
      </c>
      <c r="D75" s="5">
        <v>877.10400000000004</v>
      </c>
      <c r="E75" s="4">
        <f>VLOOKUP($A75,monthly!$A$1:$E$721,4,FALSE)</f>
        <v>7.82</v>
      </c>
      <c r="F75" s="4">
        <f>VLOOKUP($A75,monthly!$A$1:$E$721,5,FALSE)</f>
        <v>14.513333333333334</v>
      </c>
    </row>
    <row r="76" spans="1:6" ht="15" x14ac:dyDescent="0.25">
      <c r="A76" s="1" t="s">
        <v>75</v>
      </c>
      <c r="B76" s="2">
        <v>7300.8959999999997</v>
      </c>
      <c r="C76" s="2">
        <v>46.107999999999997</v>
      </c>
      <c r="D76" s="5">
        <v>869.06700000000001</v>
      </c>
      <c r="E76" s="4">
        <f>VLOOKUP($A76,monthly!$A$1:$E$721,4,FALSE)</f>
        <v>7.9266666666666667</v>
      </c>
      <c r="F76" s="4">
        <f>VLOOKUP($A76,monthly!$A$1:$E$721,5,FALSE)</f>
        <v>11.006666666666668</v>
      </c>
    </row>
    <row r="77" spans="1:6" ht="15" x14ac:dyDescent="0.25">
      <c r="A77" s="1" t="s">
        <v>76</v>
      </c>
      <c r="B77" s="2">
        <v>7303.817</v>
      </c>
      <c r="C77" s="2">
        <v>46.585999999999999</v>
      </c>
      <c r="D77" s="5">
        <v>801.88900000000001</v>
      </c>
      <c r="E77" s="4">
        <f>VLOOKUP($A77,monthly!$A$1:$E$721,4,FALSE)</f>
        <v>7.9833333333333343</v>
      </c>
      <c r="F77" s="4">
        <f>VLOOKUP($A77,monthly!$A$1:$E$721,5,FALSE)</f>
        <v>9.2866666666666671</v>
      </c>
    </row>
    <row r="78" spans="1:6" ht="15" x14ac:dyDescent="0.25">
      <c r="A78" s="1" t="s">
        <v>77</v>
      </c>
      <c r="B78" s="2">
        <v>7400.0659999999998</v>
      </c>
      <c r="C78" s="2">
        <v>46.938000000000002</v>
      </c>
      <c r="D78" s="5">
        <v>829.67200000000003</v>
      </c>
      <c r="E78" s="4">
        <f>VLOOKUP($A78,monthly!$A$1:$E$721,4,FALSE)</f>
        <v>8.0833333333333339</v>
      </c>
      <c r="F78" s="4">
        <f>VLOOKUP($A78,monthly!$A$1:$E$721,5,FALSE)</f>
        <v>8.6533333333333324</v>
      </c>
    </row>
    <row r="79" spans="1:6" ht="15" x14ac:dyDescent="0.25">
      <c r="A79" s="1" t="s">
        <v>78</v>
      </c>
      <c r="B79" s="2">
        <v>7568.4560000000001</v>
      </c>
      <c r="C79" s="2">
        <v>47.286000000000001</v>
      </c>
      <c r="D79" s="5">
        <v>903.14800000000002</v>
      </c>
      <c r="E79" s="4">
        <f>VLOOKUP($A79,monthly!$A$1:$E$721,4,FALSE)</f>
        <v>8.163333333333334</v>
      </c>
      <c r="F79" s="4">
        <f>VLOOKUP($A79,monthly!$A$1:$E$721,5,FALSE)</f>
        <v>8.8033333333333328</v>
      </c>
    </row>
    <row r="80" spans="1:6" ht="15" x14ac:dyDescent="0.25">
      <c r="A80" s="1" t="s">
        <v>79</v>
      </c>
      <c r="B80" s="2">
        <v>7719.7460000000001</v>
      </c>
      <c r="C80" s="2">
        <v>47.789000000000001</v>
      </c>
      <c r="D80" s="5">
        <v>959.69200000000001</v>
      </c>
      <c r="E80" s="4">
        <f>VLOOKUP($A80,monthly!$A$1:$E$721,4,FALSE)</f>
        <v>8.23</v>
      </c>
      <c r="F80" s="4">
        <f>VLOOKUP($A80,monthly!$A$1:$E$721,5,FALSE)</f>
        <v>9.4599999999999991</v>
      </c>
    </row>
    <row r="81" spans="1:6" ht="15" x14ac:dyDescent="0.25">
      <c r="A81" s="1" t="s">
        <v>80</v>
      </c>
      <c r="B81" s="2">
        <v>7880.7939999999999</v>
      </c>
      <c r="C81" s="2">
        <v>48.151000000000003</v>
      </c>
      <c r="D81" s="5">
        <v>1053.0540000000001</v>
      </c>
      <c r="E81" s="4">
        <f>VLOOKUP($A81,monthly!$A$1:$E$721,4,FALSE)</f>
        <v>8.3166666666666682</v>
      </c>
      <c r="F81" s="4">
        <f>VLOOKUP($A81,monthly!$A$1:$E$721,5,FALSE)</f>
        <v>9.43</v>
      </c>
    </row>
    <row r="82" spans="1:6" ht="15" x14ac:dyDescent="0.25">
      <c r="A82" s="1" t="s">
        <v>81</v>
      </c>
      <c r="B82" s="2">
        <v>8034.8469999999998</v>
      </c>
      <c r="C82" s="2">
        <v>48.639000000000003</v>
      </c>
      <c r="D82" s="5">
        <v>1154.826</v>
      </c>
      <c r="E82" s="4">
        <f>VLOOKUP($A82,monthly!$A$1:$E$721,4,FALSE)</f>
        <v>8.39</v>
      </c>
      <c r="F82" s="4">
        <f>VLOOKUP($A82,monthly!$A$1:$E$721,5,FALSE)</f>
        <v>9.6866666666666656</v>
      </c>
    </row>
    <row r="83" spans="1:6" ht="15" x14ac:dyDescent="0.25">
      <c r="A83" s="1" t="s">
        <v>82</v>
      </c>
      <c r="B83" s="2">
        <v>8173.67</v>
      </c>
      <c r="C83" s="2">
        <v>49.055</v>
      </c>
      <c r="D83" s="5">
        <v>1192.3810000000001</v>
      </c>
      <c r="E83" s="4">
        <f>VLOOKUP($A83,monthly!$A$1:$E$721,4,FALSE)</f>
        <v>8.4599999999999991</v>
      </c>
      <c r="F83" s="4">
        <f>VLOOKUP($A83,monthly!$A$1:$E$721,5,FALSE)</f>
        <v>10.556666666666667</v>
      </c>
    </row>
    <row r="84" spans="1:6" ht="15" x14ac:dyDescent="0.25">
      <c r="A84" s="1" t="s">
        <v>83</v>
      </c>
      <c r="B84" s="2">
        <v>8252.4650000000001</v>
      </c>
      <c r="C84" s="2">
        <v>49.491</v>
      </c>
      <c r="D84" s="5">
        <v>1218.184</v>
      </c>
      <c r="E84" s="4">
        <f>VLOOKUP($A84,monthly!$A$1:$E$721,4,FALSE)</f>
        <v>8.5233333333333334</v>
      </c>
      <c r="F84" s="4">
        <f>VLOOKUP($A84,monthly!$A$1:$E$721,5,FALSE)</f>
        <v>11.39</v>
      </c>
    </row>
    <row r="85" spans="1:6" ht="15" x14ac:dyDescent="0.25">
      <c r="A85" s="1" t="s">
        <v>84</v>
      </c>
      <c r="B85" s="2">
        <v>8320.1990000000005</v>
      </c>
      <c r="C85" s="2">
        <v>49.860999999999997</v>
      </c>
      <c r="D85" s="5">
        <v>1202.383</v>
      </c>
      <c r="E85" s="4">
        <f>VLOOKUP($A85,monthly!$A$1:$E$721,4,FALSE)</f>
        <v>8.5766666666666662</v>
      </c>
      <c r="F85" s="4">
        <f>VLOOKUP($A85,monthly!$A$1:$E$721,5,FALSE)</f>
        <v>9.2666666666666675</v>
      </c>
    </row>
    <row r="86" spans="1:6" ht="15" x14ac:dyDescent="0.25">
      <c r="A86" s="1" t="s">
        <v>85</v>
      </c>
      <c r="B86" s="2">
        <v>8400.82</v>
      </c>
      <c r="C86" s="2">
        <v>50.353999999999999</v>
      </c>
      <c r="D86" s="5">
        <v>1169.4159999999999</v>
      </c>
      <c r="E86" s="4">
        <f>VLOOKUP($A86,monthly!$A$1:$E$721,4,FALSE)</f>
        <v>8.6366666666666667</v>
      </c>
      <c r="F86" s="4">
        <f>VLOOKUP($A86,monthly!$A$1:$E$721,5,FALSE)</f>
        <v>8.4766666666666666</v>
      </c>
    </row>
    <row r="87" spans="1:6" ht="15" x14ac:dyDescent="0.25">
      <c r="A87" s="1" t="s">
        <v>86</v>
      </c>
      <c r="B87" s="2">
        <v>8474.7870000000003</v>
      </c>
      <c r="C87" s="2">
        <v>50.677999999999997</v>
      </c>
      <c r="D87" s="5">
        <v>1189.3340000000001</v>
      </c>
      <c r="E87" s="4">
        <f>VLOOKUP($A87,monthly!$A$1:$E$721,4,FALSE)</f>
        <v>8.7100000000000009</v>
      </c>
      <c r="F87" s="4">
        <f>VLOOKUP($A87,monthly!$A$1:$E$721,5,FALSE)</f>
        <v>7.9233333333333329</v>
      </c>
    </row>
    <row r="88" spans="1:6" ht="15" x14ac:dyDescent="0.25">
      <c r="A88" s="1" t="s">
        <v>87</v>
      </c>
      <c r="B88" s="2">
        <v>8604.2199999999993</v>
      </c>
      <c r="C88" s="2">
        <v>50.984000000000002</v>
      </c>
      <c r="D88" s="5">
        <v>1181.2260000000001</v>
      </c>
      <c r="E88" s="4">
        <f>VLOOKUP($A88,monthly!$A$1:$E$721,4,FALSE)</f>
        <v>8.7666666666666675</v>
      </c>
      <c r="F88" s="4">
        <f>VLOOKUP($A88,monthly!$A$1:$E$721,5,FALSE)</f>
        <v>7.9000000000000012</v>
      </c>
    </row>
    <row r="89" spans="1:6" ht="15" x14ac:dyDescent="0.25">
      <c r="A89" s="1" t="s">
        <v>88</v>
      </c>
      <c r="B89" s="2">
        <v>8668.1880000000001</v>
      </c>
      <c r="C89" s="2">
        <v>51.268999999999998</v>
      </c>
      <c r="D89" s="5">
        <v>1224.7629999999999</v>
      </c>
      <c r="E89" s="4">
        <f>VLOOKUP($A89,monthly!$A$1:$E$721,4,FALSE)</f>
        <v>8.8233333333333324</v>
      </c>
      <c r="F89" s="4">
        <f>VLOOKUP($A89,monthly!$A$1:$E$721,5,FALSE)</f>
        <v>8.1033333333333335</v>
      </c>
    </row>
    <row r="90" spans="1:6" ht="15" x14ac:dyDescent="0.25">
      <c r="A90" s="1" t="s">
        <v>89</v>
      </c>
      <c r="B90" s="2">
        <v>8749.1270000000004</v>
      </c>
      <c r="C90" s="2">
        <v>51.524000000000001</v>
      </c>
      <c r="D90" s="5">
        <v>1224.404</v>
      </c>
      <c r="E90" s="4">
        <f>VLOOKUP($A90,monthly!$A$1:$E$721,4,FALSE)</f>
        <v>8.8733333333333331</v>
      </c>
      <c r="F90" s="4">
        <f>VLOOKUP($A90,monthly!$A$1:$E$721,5,FALSE)</f>
        <v>7.8266666666666671</v>
      </c>
    </row>
    <row r="91" spans="1:6" ht="15" x14ac:dyDescent="0.25">
      <c r="A91" s="1" t="s">
        <v>90</v>
      </c>
      <c r="B91" s="2">
        <v>8788.5239999999994</v>
      </c>
      <c r="C91" s="2">
        <v>51.719000000000001</v>
      </c>
      <c r="D91" s="5">
        <v>1203.028</v>
      </c>
      <c r="E91" s="4">
        <f>VLOOKUP($A91,monthly!$A$1:$E$721,4,FALSE)</f>
        <v>8.9</v>
      </c>
      <c r="F91" s="4">
        <f>VLOOKUP($A91,monthly!$A$1:$E$721,5,FALSE)</f>
        <v>6.919999999999999</v>
      </c>
    </row>
    <row r="92" spans="1:6" ht="15" x14ac:dyDescent="0.25">
      <c r="A92" s="1" t="s">
        <v>91</v>
      </c>
      <c r="B92" s="2">
        <v>8872.6010000000006</v>
      </c>
      <c r="C92" s="2">
        <v>51.930999999999997</v>
      </c>
      <c r="D92" s="5">
        <v>1170.6669999999999</v>
      </c>
      <c r="E92" s="4">
        <f>VLOOKUP($A92,monthly!$A$1:$E$721,4,FALSE)</f>
        <v>8.93</v>
      </c>
      <c r="F92" s="4">
        <f>VLOOKUP($A92,monthly!$A$1:$E$721,5,FALSE)</f>
        <v>6.206666666666667</v>
      </c>
    </row>
    <row r="93" spans="1:6" ht="15" x14ac:dyDescent="0.25">
      <c r="A93" s="1" t="s">
        <v>92</v>
      </c>
      <c r="B93" s="2">
        <v>8920.1929999999993</v>
      </c>
      <c r="C93" s="2">
        <v>52.213999999999999</v>
      </c>
      <c r="D93" s="5">
        <v>1174.171</v>
      </c>
      <c r="E93" s="4">
        <f>VLOOKUP($A93,monthly!$A$1:$E$721,4,FALSE)</f>
        <v>8.9933333333333323</v>
      </c>
      <c r="F93" s="4">
        <f>VLOOKUP($A93,monthly!$A$1:$E$721,5,FALSE)</f>
        <v>6.2666666666666666</v>
      </c>
    </row>
    <row r="94" spans="1:6" ht="15" x14ac:dyDescent="0.25">
      <c r="A94" s="1" t="s">
        <v>93</v>
      </c>
      <c r="B94" s="2">
        <v>8986.3670000000002</v>
      </c>
      <c r="C94" s="2">
        <v>52.548000000000002</v>
      </c>
      <c r="D94" s="5">
        <v>1205.8579999999999</v>
      </c>
      <c r="E94" s="4">
        <f>VLOOKUP($A94,monthly!$A$1:$E$721,4,FALSE)</f>
        <v>9.0466666666666669</v>
      </c>
      <c r="F94" s="4">
        <f>VLOOKUP($A94,monthly!$A$1:$E$721,5,FALSE)</f>
        <v>6.22</v>
      </c>
    </row>
    <row r="95" spans="1:6" ht="15" x14ac:dyDescent="0.25">
      <c r="A95" s="1" t="s">
        <v>94</v>
      </c>
      <c r="B95" s="2">
        <v>9083.2559999999994</v>
      </c>
      <c r="C95" s="2">
        <v>52.911999999999999</v>
      </c>
      <c r="D95" s="5">
        <v>1206.4860000000001</v>
      </c>
      <c r="E95" s="4">
        <f>VLOOKUP($A95,monthly!$A$1:$E$721,4,FALSE)</f>
        <v>9.1</v>
      </c>
      <c r="F95" s="4">
        <f>VLOOKUP($A95,monthly!$A$1:$E$721,5,FALSE)</f>
        <v>6.6499999999999995</v>
      </c>
    </row>
    <row r="96" spans="1:6" ht="15" x14ac:dyDescent="0.25">
      <c r="A96" s="1" t="s">
        <v>95</v>
      </c>
      <c r="B96" s="2">
        <v>9162.0239999999994</v>
      </c>
      <c r="C96" s="2">
        <v>53.313000000000002</v>
      </c>
      <c r="D96" s="5">
        <v>1206.662</v>
      </c>
      <c r="E96" s="4">
        <f>VLOOKUP($A96,monthly!$A$1:$E$721,4,FALSE)</f>
        <v>9.1633333333333322</v>
      </c>
      <c r="F96" s="4">
        <f>VLOOKUP($A96,monthly!$A$1:$E$721,5,FALSE)</f>
        <v>6.8433333333333337</v>
      </c>
    </row>
    <row r="97" spans="1:6" ht="15" x14ac:dyDescent="0.25">
      <c r="A97" s="1" t="s">
        <v>96</v>
      </c>
      <c r="B97" s="2">
        <v>9319.3320000000003</v>
      </c>
      <c r="C97" s="2">
        <v>53.738</v>
      </c>
      <c r="D97" s="5">
        <v>1288.8810000000001</v>
      </c>
      <c r="E97" s="4">
        <f>VLOOKUP($A97,monthly!$A$1:$E$721,4,FALSE)</f>
        <v>9.2566666666666677</v>
      </c>
      <c r="F97" s="4">
        <f>VLOOKUP($A97,monthly!$A$1:$E$721,5,FALSE)</f>
        <v>6.916666666666667</v>
      </c>
    </row>
    <row r="98" spans="1:6" ht="15" x14ac:dyDescent="0.25">
      <c r="A98" s="1" t="s">
        <v>97</v>
      </c>
      <c r="B98" s="2">
        <v>9367.5020000000004</v>
      </c>
      <c r="C98" s="2">
        <v>54.158999999999999</v>
      </c>
      <c r="D98" s="5">
        <v>1227.008</v>
      </c>
      <c r="E98" s="4">
        <f>VLOOKUP($A98,monthly!$A$1:$E$721,4,FALSE)</f>
        <v>9.2966666666666669</v>
      </c>
      <c r="F98" s="4">
        <f>VLOOKUP($A98,monthly!$A$1:$E$721,5,FALSE)</f>
        <v>6.663333333333334</v>
      </c>
    </row>
    <row r="99" spans="1:6" ht="15" x14ac:dyDescent="0.25">
      <c r="A99" s="1" t="s">
        <v>98</v>
      </c>
      <c r="B99" s="2">
        <v>9490.5939999999991</v>
      </c>
      <c r="C99" s="2">
        <v>54.686</v>
      </c>
      <c r="D99" s="5">
        <v>1256.2429999999999</v>
      </c>
      <c r="E99" s="4">
        <f>VLOOKUP($A99,monthly!$A$1:$E$721,4,FALSE)</f>
        <v>9.3933333333333326</v>
      </c>
      <c r="F99" s="4">
        <f>VLOOKUP($A99,monthly!$A$1:$E$721,5,FALSE)</f>
        <v>7.1566666666666663</v>
      </c>
    </row>
    <row r="100" spans="1:6" ht="15" x14ac:dyDescent="0.25">
      <c r="A100" s="1" t="s">
        <v>99</v>
      </c>
      <c r="B100" s="2">
        <v>9546.2060000000001</v>
      </c>
      <c r="C100" s="2">
        <v>55.34</v>
      </c>
      <c r="D100" s="5">
        <v>1263.222</v>
      </c>
      <c r="E100" s="4">
        <f>VLOOKUP($A100,monthly!$A$1:$E$721,4,FALSE)</f>
        <v>9.4733333333333345</v>
      </c>
      <c r="F100" s="4">
        <f>VLOOKUP($A100,monthly!$A$1:$E$721,5,FALSE)</f>
        <v>7.9833333333333334</v>
      </c>
    </row>
    <row r="101" spans="1:6" ht="15" x14ac:dyDescent="0.25">
      <c r="A101" s="1" t="s">
        <v>100</v>
      </c>
      <c r="B101" s="2">
        <v>9673.4050000000007</v>
      </c>
      <c r="C101" s="2">
        <v>55.817999999999998</v>
      </c>
      <c r="D101" s="5">
        <v>1282.499</v>
      </c>
      <c r="E101" s="4">
        <f>VLOOKUP($A101,monthly!$A$1:$E$721,4,FALSE)</f>
        <v>9.58</v>
      </c>
      <c r="F101" s="4">
        <f>VLOOKUP($A101,monthly!$A$1:$E$721,5,FALSE)</f>
        <v>8.4699999999999989</v>
      </c>
    </row>
    <row r="102" spans="1:6" ht="15" x14ac:dyDescent="0.25">
      <c r="A102" s="1" t="s">
        <v>101</v>
      </c>
      <c r="B102" s="2">
        <v>9771.7250000000004</v>
      </c>
      <c r="C102" s="2">
        <v>56.4</v>
      </c>
      <c r="D102" s="5">
        <v>1326.029</v>
      </c>
      <c r="E102" s="4">
        <f>VLOOKUP($A102,monthly!$A$1:$E$721,4,FALSE)</f>
        <v>9.6766666666666659</v>
      </c>
      <c r="F102" s="4">
        <f>VLOOKUP($A102,monthly!$A$1:$E$721,5,FALSE)</f>
        <v>9.4433333333333334</v>
      </c>
    </row>
    <row r="103" spans="1:6" ht="15" x14ac:dyDescent="0.25">
      <c r="A103" s="1" t="s">
        <v>102</v>
      </c>
      <c r="B103" s="2">
        <v>9846.2929999999997</v>
      </c>
      <c r="C103" s="2">
        <v>57.000999999999998</v>
      </c>
      <c r="D103" s="5">
        <v>1313.202</v>
      </c>
      <c r="E103" s="4">
        <f>VLOOKUP($A103,monthly!$A$1:$E$721,4,FALSE)</f>
        <v>9.7533333333333339</v>
      </c>
      <c r="F103" s="4">
        <f>VLOOKUP($A103,monthly!$A$1:$E$721,5,FALSE)</f>
        <v>9.7266666666666666</v>
      </c>
    </row>
    <row r="104" spans="1:6" ht="15" x14ac:dyDescent="0.25">
      <c r="A104" s="1" t="s">
        <v>103</v>
      </c>
      <c r="B104" s="2">
        <v>9919.2279999999992</v>
      </c>
      <c r="C104" s="2">
        <v>57.417000000000002</v>
      </c>
      <c r="D104" s="5">
        <v>1301.412</v>
      </c>
      <c r="E104" s="4">
        <f>VLOOKUP($A104,monthly!$A$1:$E$721,4,FALSE)</f>
        <v>9.8433333333333337</v>
      </c>
      <c r="F104" s="4">
        <f>VLOOKUP($A104,monthly!$A$1:$E$721,5,FALSE)</f>
        <v>9.0833333333333339</v>
      </c>
    </row>
    <row r="105" spans="1:6" ht="15" x14ac:dyDescent="0.25">
      <c r="A105" s="1" t="s">
        <v>104</v>
      </c>
      <c r="B105" s="2">
        <v>9938.7669999999998</v>
      </c>
      <c r="C105" s="2">
        <v>57.826000000000001</v>
      </c>
      <c r="D105" s="5">
        <v>1291.758</v>
      </c>
      <c r="E105" s="4">
        <f>VLOOKUP($A105,monthly!$A$1:$E$721,4,FALSE)</f>
        <v>9.9433333333333334</v>
      </c>
      <c r="F105" s="4">
        <f>VLOOKUP($A105,monthly!$A$1:$E$721,5,FALSE)</f>
        <v>8.6133333333333333</v>
      </c>
    </row>
    <row r="106" spans="1:6" ht="15" x14ac:dyDescent="0.25">
      <c r="A106" s="1" t="s">
        <v>105</v>
      </c>
      <c r="B106" s="2">
        <v>10047.386</v>
      </c>
      <c r="C106" s="2">
        <v>58.45</v>
      </c>
      <c r="D106" s="5">
        <v>1304.586</v>
      </c>
      <c r="E106" s="4">
        <f>VLOOKUP($A106,monthly!$A$1:$E$721,4,FALSE)</f>
        <v>10.066666666666666</v>
      </c>
      <c r="F106" s="4">
        <f>VLOOKUP($A106,monthly!$A$1:$E$721,5,FALSE)</f>
        <v>8.25</v>
      </c>
    </row>
    <row r="107" spans="1:6" ht="15" x14ac:dyDescent="0.25">
      <c r="A107" s="1" t="s">
        <v>106</v>
      </c>
      <c r="B107" s="2">
        <v>10083.855</v>
      </c>
      <c r="C107" s="2">
        <v>59.104999999999997</v>
      </c>
      <c r="D107" s="5">
        <v>1304.9929999999999</v>
      </c>
      <c r="E107" s="4">
        <f>VLOOKUP($A107,monthly!$A$1:$E$721,4,FALSE)</f>
        <v>10.16</v>
      </c>
      <c r="F107" s="4">
        <f>VLOOKUP($A107,monthly!$A$1:$E$721,5,FALSE)</f>
        <v>8.2433333333333323</v>
      </c>
    </row>
    <row r="108" spans="1:6" ht="15" x14ac:dyDescent="0.25">
      <c r="A108" s="1" t="s">
        <v>107</v>
      </c>
      <c r="B108" s="2">
        <v>10090.569</v>
      </c>
      <c r="C108" s="2">
        <v>59.610999999999997</v>
      </c>
      <c r="D108" s="5">
        <v>1279.6949999999999</v>
      </c>
      <c r="E108" s="4">
        <f>VLOOKUP($A108,monthly!$A$1:$E$721,4,FALSE)</f>
        <v>10.246666666666668</v>
      </c>
      <c r="F108" s="4">
        <f>VLOOKUP($A108,monthly!$A$1:$E$721,5,FALSE)</f>
        <v>8.16</v>
      </c>
    </row>
    <row r="109" spans="1:6" ht="15" x14ac:dyDescent="0.25">
      <c r="A109" s="1" t="s">
        <v>108</v>
      </c>
      <c r="B109" s="2">
        <v>9998.7039999999997</v>
      </c>
      <c r="C109" s="2">
        <v>60.055</v>
      </c>
      <c r="D109" s="5">
        <v>1208.107</v>
      </c>
      <c r="E109" s="4">
        <f>VLOOKUP($A109,monthly!$A$1:$E$721,4,FALSE)</f>
        <v>10.32</v>
      </c>
      <c r="F109" s="4">
        <f>VLOOKUP($A109,monthly!$A$1:$E$721,5,FALSE)</f>
        <v>7.7433333333333323</v>
      </c>
    </row>
    <row r="110" spans="1:6" ht="15" x14ac:dyDescent="0.25">
      <c r="A110" s="1" t="s">
        <v>109</v>
      </c>
      <c r="B110" s="2">
        <v>9951.9159999999993</v>
      </c>
      <c r="C110" s="2">
        <v>60.643000000000001</v>
      </c>
      <c r="D110" s="5">
        <v>1167.9079999999999</v>
      </c>
      <c r="E110" s="4">
        <f>VLOOKUP($A110,monthly!$A$1:$E$721,4,FALSE)</f>
        <v>10.389999999999999</v>
      </c>
      <c r="F110" s="4">
        <f>VLOOKUP($A110,monthly!$A$1:$E$721,5,FALSE)</f>
        <v>6.4266666666666667</v>
      </c>
    </row>
    <row r="111" spans="1:6" ht="15" x14ac:dyDescent="0.25">
      <c r="A111" s="1" t="s">
        <v>110</v>
      </c>
      <c r="B111" s="2">
        <v>10029.51</v>
      </c>
      <c r="C111" s="2">
        <v>61.088000000000001</v>
      </c>
      <c r="D111" s="5">
        <v>1167.904</v>
      </c>
      <c r="E111" s="4">
        <f>VLOOKUP($A111,monthly!$A$1:$E$721,4,FALSE)</f>
        <v>10.486666666666666</v>
      </c>
      <c r="F111" s="4">
        <f>VLOOKUP($A111,monthly!$A$1:$E$721,5,FALSE)</f>
        <v>5.8633333333333342</v>
      </c>
    </row>
    <row r="112" spans="1:6" ht="15" x14ac:dyDescent="0.25">
      <c r="A112" s="1" t="s">
        <v>111</v>
      </c>
      <c r="B112" s="2">
        <v>10080.195</v>
      </c>
      <c r="C112" s="2">
        <v>61.566000000000003</v>
      </c>
      <c r="D112" s="5">
        <v>1191.028</v>
      </c>
      <c r="E112" s="4">
        <f>VLOOKUP($A112,monthly!$A$1:$E$721,4,FALSE)</f>
        <v>10.56</v>
      </c>
      <c r="F112" s="4">
        <f>VLOOKUP($A112,monthly!$A$1:$E$721,5,FALSE)</f>
        <v>5.6433333333333335</v>
      </c>
    </row>
    <row r="113" spans="1:6" ht="15" x14ac:dyDescent="0.25">
      <c r="A113" s="1" t="s">
        <v>112</v>
      </c>
      <c r="B113" s="2">
        <v>10115.329</v>
      </c>
      <c r="C113" s="2">
        <v>61.930999999999997</v>
      </c>
      <c r="D113" s="5">
        <v>1233.261</v>
      </c>
      <c r="E113" s="4">
        <f>VLOOKUP($A113,monthly!$A$1:$E$721,4,FALSE)</f>
        <v>10.613333333333333</v>
      </c>
      <c r="F113" s="4">
        <f>VLOOKUP($A113,monthly!$A$1:$E$721,5,FALSE)</f>
        <v>4.8166666666666664</v>
      </c>
    </row>
    <row r="114" spans="1:6" ht="15" x14ac:dyDescent="0.25">
      <c r="A114" s="1" t="s">
        <v>113</v>
      </c>
      <c r="B114" s="2">
        <v>10236.434999999999</v>
      </c>
      <c r="C114" s="2">
        <v>62.161000000000001</v>
      </c>
      <c r="D114" s="5">
        <v>1210.4780000000001</v>
      </c>
      <c r="E114" s="4">
        <f>VLOOKUP($A114,monthly!$A$1:$E$721,4,FALSE)</f>
        <v>10.67</v>
      </c>
      <c r="F114" s="4">
        <f>VLOOKUP($A114,monthly!$A$1:$E$721,5,FALSE)</f>
        <v>4.0233333333333334</v>
      </c>
    </row>
    <row r="115" spans="1:6" ht="15" x14ac:dyDescent="0.25">
      <c r="A115" s="1" t="s">
        <v>114</v>
      </c>
      <c r="B115" s="2">
        <v>10347.429</v>
      </c>
      <c r="C115" s="2">
        <v>62.534999999999997</v>
      </c>
      <c r="D115" s="5">
        <v>1278.9349999999999</v>
      </c>
      <c r="E115" s="4">
        <f>VLOOKUP($A115,monthly!$A$1:$E$721,4,FALSE)</f>
        <v>10.743333333333334</v>
      </c>
      <c r="F115" s="4">
        <f>VLOOKUP($A115,monthly!$A$1:$E$721,5,FALSE)</f>
        <v>3.7699999999999996</v>
      </c>
    </row>
    <row r="116" spans="1:6" ht="15" x14ac:dyDescent="0.25">
      <c r="A116" s="1" t="s">
        <v>115</v>
      </c>
      <c r="B116" s="2">
        <v>10449.673000000001</v>
      </c>
      <c r="C116" s="2">
        <v>62.841000000000001</v>
      </c>
      <c r="D116" s="5">
        <v>1289.1010000000001</v>
      </c>
      <c r="E116" s="4">
        <f>VLOOKUP($A116,monthly!$A$1:$E$721,4,FALSE)</f>
        <v>10.803333333333333</v>
      </c>
      <c r="F116" s="4">
        <f>VLOOKUP($A116,monthly!$A$1:$E$721,5,FALSE)</f>
        <v>3.2566666666666664</v>
      </c>
    </row>
    <row r="117" spans="1:6" ht="15" x14ac:dyDescent="0.25">
      <c r="A117" s="1" t="s">
        <v>116</v>
      </c>
      <c r="B117" s="2">
        <v>10558.647999999999</v>
      </c>
      <c r="C117" s="2">
        <v>63.273000000000003</v>
      </c>
      <c r="D117" s="5">
        <v>1328.433</v>
      </c>
      <c r="E117" s="4">
        <f>VLOOKUP($A117,monthly!$A$1:$E$721,4,FALSE)</f>
        <v>10.87</v>
      </c>
      <c r="F117" s="4">
        <f>VLOOKUP($A117,monthly!$A$1:$E$721,5,FALSE)</f>
        <v>3.0366666666666666</v>
      </c>
    </row>
    <row r="118" spans="1:6" ht="15" x14ac:dyDescent="0.25">
      <c r="A118" s="1" t="s">
        <v>117</v>
      </c>
      <c r="B118" s="2">
        <v>10576.275</v>
      </c>
      <c r="C118" s="2">
        <v>63.628</v>
      </c>
      <c r="D118" s="5">
        <v>1359.751</v>
      </c>
      <c r="E118" s="4">
        <f>VLOOKUP($A118,monthly!$A$1:$E$721,4,FALSE)</f>
        <v>10.956666666666665</v>
      </c>
      <c r="F118" s="4">
        <f>VLOOKUP($A118,monthly!$A$1:$E$721,5,FALSE)</f>
        <v>3.0399999999999996</v>
      </c>
    </row>
    <row r="119" spans="1:6" ht="15" x14ac:dyDescent="0.25">
      <c r="A119" s="1" t="s">
        <v>118</v>
      </c>
      <c r="B119" s="2">
        <v>10637.847</v>
      </c>
      <c r="C119" s="2">
        <v>64.007000000000005</v>
      </c>
      <c r="D119" s="5">
        <v>1367.575</v>
      </c>
      <c r="E119" s="4">
        <f>VLOOKUP($A119,monthly!$A$1:$E$721,4,FALSE)</f>
        <v>11.01</v>
      </c>
      <c r="F119" s="4">
        <f>VLOOKUP($A119,monthly!$A$1:$E$721,5,FALSE)</f>
        <v>3</v>
      </c>
    </row>
    <row r="120" spans="1:6" ht="15" x14ac:dyDescent="0.25">
      <c r="A120" s="1" t="s">
        <v>119</v>
      </c>
      <c r="B120" s="2">
        <v>10688.606</v>
      </c>
      <c r="C120" s="2">
        <v>64.387</v>
      </c>
      <c r="D120" s="5">
        <v>1358.287</v>
      </c>
      <c r="E120" s="4">
        <f>VLOOKUP($A120,monthly!$A$1:$E$721,4,FALSE)</f>
        <v>11.07</v>
      </c>
      <c r="F120" s="4">
        <f>VLOOKUP($A120,monthly!$A$1:$E$721,5,FALSE)</f>
        <v>3.06</v>
      </c>
    </row>
    <row r="121" spans="1:6" ht="15" x14ac:dyDescent="0.25">
      <c r="A121" s="1" t="s">
        <v>120</v>
      </c>
      <c r="B121" s="2">
        <v>10833.986999999999</v>
      </c>
      <c r="C121" s="2">
        <v>64.738</v>
      </c>
      <c r="D121" s="5">
        <v>1429.6610000000001</v>
      </c>
      <c r="E121" s="4">
        <f>VLOOKUP($A121,monthly!$A$1:$E$721,4,FALSE)</f>
        <v>11.153333333333334</v>
      </c>
      <c r="F121" s="4">
        <f>VLOOKUP($A121,monthly!$A$1:$E$721,5,FALSE)</f>
        <v>2.9899999999999998</v>
      </c>
    </row>
    <row r="122" spans="1:6" ht="15" x14ac:dyDescent="0.25">
      <c r="A122" s="1" t="s">
        <v>121</v>
      </c>
      <c r="B122" s="2">
        <v>10939.116</v>
      </c>
      <c r="C122" s="2">
        <v>65.048000000000002</v>
      </c>
      <c r="D122" s="5">
        <v>1484.116</v>
      </c>
      <c r="E122" s="4">
        <f>VLOOKUP($A122,monthly!$A$1:$E$721,4,FALSE)</f>
        <v>11.233333333333334</v>
      </c>
      <c r="F122" s="4">
        <f>VLOOKUP($A122,monthly!$A$1:$E$721,5,FALSE)</f>
        <v>3.2133333333333334</v>
      </c>
    </row>
    <row r="123" spans="1:6" ht="15" x14ac:dyDescent="0.25">
      <c r="A123" s="1" t="s">
        <v>122</v>
      </c>
      <c r="B123" s="2">
        <v>11087.361000000001</v>
      </c>
      <c r="C123" s="2">
        <v>65.361999999999995</v>
      </c>
      <c r="D123" s="5">
        <v>1557.107</v>
      </c>
      <c r="E123" s="4">
        <f>VLOOKUP($A123,monthly!$A$1:$E$721,4,FALSE)</f>
        <v>11.29</v>
      </c>
      <c r="F123" s="4">
        <f>VLOOKUP($A123,monthly!$A$1:$E$721,5,FALSE)</f>
        <v>3.94</v>
      </c>
    </row>
    <row r="124" spans="1:6" ht="15" x14ac:dyDescent="0.25">
      <c r="A124" s="1" t="s">
        <v>123</v>
      </c>
      <c r="B124" s="2">
        <v>11152.175999999999</v>
      </c>
      <c r="C124" s="2">
        <v>65.736999999999995</v>
      </c>
      <c r="D124" s="5">
        <v>1531.67</v>
      </c>
      <c r="E124" s="4">
        <f>VLOOKUP($A124,monthly!$A$1:$E$721,4,FALSE)</f>
        <v>11.36</v>
      </c>
      <c r="F124" s="4">
        <f>VLOOKUP($A124,monthly!$A$1:$E$721,5,FALSE)</f>
        <v>4.4866666666666672</v>
      </c>
    </row>
    <row r="125" spans="1:6" ht="15" x14ac:dyDescent="0.25">
      <c r="A125" s="1" t="s">
        <v>124</v>
      </c>
      <c r="B125" s="2">
        <v>11279.932000000001</v>
      </c>
      <c r="C125" s="2">
        <v>66.093000000000004</v>
      </c>
      <c r="D125" s="5">
        <v>1594.684</v>
      </c>
      <c r="E125" s="4">
        <f>VLOOKUP($A125,monthly!$A$1:$E$721,4,FALSE)</f>
        <v>11.446666666666665</v>
      </c>
      <c r="F125" s="4">
        <f>VLOOKUP($A125,monthly!$A$1:$E$721,5,FALSE)</f>
        <v>5.166666666666667</v>
      </c>
    </row>
    <row r="126" spans="1:6" ht="15" x14ac:dyDescent="0.25">
      <c r="A126" s="1" t="s">
        <v>125</v>
      </c>
      <c r="B126" s="2">
        <v>11319.950999999999</v>
      </c>
      <c r="C126" s="2">
        <v>66.451999999999998</v>
      </c>
      <c r="D126" s="5">
        <v>1611.4280000000001</v>
      </c>
      <c r="E126" s="4">
        <f>VLOOKUP($A126,monthly!$A$1:$E$721,4,FALSE)</f>
        <v>11.516666666666666</v>
      </c>
      <c r="F126" s="4">
        <f>VLOOKUP($A126,monthly!$A$1:$E$721,5,FALSE)</f>
        <v>5.81</v>
      </c>
    </row>
    <row r="127" spans="1:6" ht="15" x14ac:dyDescent="0.25">
      <c r="A127" s="1" t="s">
        <v>126</v>
      </c>
      <c r="B127" s="2">
        <v>11353.721</v>
      </c>
      <c r="C127" s="2">
        <v>66.771000000000001</v>
      </c>
      <c r="D127" s="5">
        <v>1577.96</v>
      </c>
      <c r="E127" s="4">
        <f>VLOOKUP($A127,monthly!$A$1:$E$721,4,FALSE)</f>
        <v>11.596666666666666</v>
      </c>
      <c r="F127" s="4">
        <f>VLOOKUP($A127,monthly!$A$1:$E$721,5,FALSE)</f>
        <v>6.02</v>
      </c>
    </row>
    <row r="128" spans="1:6" ht="15" x14ac:dyDescent="0.25">
      <c r="A128" s="1" t="s">
        <v>127</v>
      </c>
      <c r="B128" s="2">
        <v>11450.31</v>
      </c>
      <c r="C128" s="2">
        <v>67.099999999999994</v>
      </c>
      <c r="D128" s="5">
        <v>1568.5550000000001</v>
      </c>
      <c r="E128" s="4">
        <f>VLOOKUP($A128,monthly!$A$1:$E$721,4,FALSE)</f>
        <v>11.696666666666667</v>
      </c>
      <c r="F128" s="4">
        <f>VLOOKUP($A128,monthly!$A$1:$E$721,5,FALSE)</f>
        <v>5.7966666666666669</v>
      </c>
    </row>
    <row r="129" spans="1:6" ht="15" x14ac:dyDescent="0.25">
      <c r="A129" s="1" t="s">
        <v>128</v>
      </c>
      <c r="B129" s="2">
        <v>11528.066999999999</v>
      </c>
      <c r="C129" s="2">
        <v>67.423000000000002</v>
      </c>
      <c r="D129" s="5">
        <v>1607.5129999999999</v>
      </c>
      <c r="E129" s="4">
        <f>VLOOKUP($A129,monthly!$A$1:$E$721,4,FALSE)</f>
        <v>11.780000000000001</v>
      </c>
      <c r="F129" s="4">
        <f>VLOOKUP($A129,monthly!$A$1:$E$721,5,FALSE)</f>
        <v>5.7199999999999989</v>
      </c>
    </row>
    <row r="130" spans="1:6" ht="15" x14ac:dyDescent="0.25">
      <c r="A130" s="1" t="s">
        <v>129</v>
      </c>
      <c r="B130" s="2">
        <v>11614.418</v>
      </c>
      <c r="C130" s="2">
        <v>67.747</v>
      </c>
      <c r="D130" s="5">
        <v>1633.3320000000001</v>
      </c>
      <c r="E130" s="4">
        <f>VLOOKUP($A130,monthly!$A$1:$E$721,4,FALSE)</f>
        <v>11.873333333333333</v>
      </c>
      <c r="F130" s="4">
        <f>VLOOKUP($A130,monthly!$A$1:$E$721,5,FALSE)</f>
        <v>5.3633333333333333</v>
      </c>
    </row>
    <row r="131" spans="1:6" ht="15" x14ac:dyDescent="0.25">
      <c r="A131" s="1" t="s">
        <v>130</v>
      </c>
      <c r="B131" s="2">
        <v>11808.14</v>
      </c>
      <c r="C131" s="2">
        <v>68.028000000000006</v>
      </c>
      <c r="D131" s="5">
        <v>1711.8130000000001</v>
      </c>
      <c r="E131" s="4">
        <f>VLOOKUP($A131,monthly!$A$1:$E$721,4,FALSE)</f>
        <v>11.983333333333334</v>
      </c>
      <c r="F131" s="4">
        <f>VLOOKUP($A131,monthly!$A$1:$E$721,5,FALSE)</f>
        <v>5.2433333333333332</v>
      </c>
    </row>
    <row r="132" spans="1:6" ht="15" x14ac:dyDescent="0.25">
      <c r="A132" s="1" t="s">
        <v>131</v>
      </c>
      <c r="B132" s="2">
        <v>11914.063</v>
      </c>
      <c r="C132" s="2">
        <v>68.251000000000005</v>
      </c>
      <c r="D132" s="5">
        <v>1789.5650000000001</v>
      </c>
      <c r="E132" s="4">
        <f>VLOOKUP($A132,monthly!$A$1:$E$721,4,FALSE)</f>
        <v>12.093333333333334</v>
      </c>
      <c r="F132" s="4">
        <f>VLOOKUP($A132,monthly!$A$1:$E$721,5,FALSE)</f>
        <v>5.3066666666666675</v>
      </c>
    </row>
    <row r="133" spans="1:6" ht="15" x14ac:dyDescent="0.25">
      <c r="A133" s="1" t="s">
        <v>132</v>
      </c>
      <c r="B133" s="2">
        <v>12037.775</v>
      </c>
      <c r="C133" s="2">
        <v>68.614999999999995</v>
      </c>
      <c r="D133" s="5">
        <v>1787.19</v>
      </c>
      <c r="E133" s="4">
        <f>VLOOKUP($A133,monthly!$A$1:$E$721,4,FALSE)</f>
        <v>12.196666666666667</v>
      </c>
      <c r="F133" s="4">
        <f>VLOOKUP($A133,monthly!$A$1:$E$721,5,FALSE)</f>
        <v>5.28</v>
      </c>
    </row>
    <row r="134" spans="1:6" ht="15" x14ac:dyDescent="0.25">
      <c r="A134" s="1" t="s">
        <v>133</v>
      </c>
      <c r="B134" s="2">
        <v>12115.472</v>
      </c>
      <c r="C134" s="2">
        <v>69.025000000000006</v>
      </c>
      <c r="D134" s="5">
        <v>1823.2550000000001</v>
      </c>
      <c r="E134" s="4">
        <f>VLOOKUP($A134,monthly!$A$1:$E$721,4,FALSE)</f>
        <v>12.316666666666668</v>
      </c>
      <c r="F134" s="4">
        <f>VLOOKUP($A134,monthly!$A$1:$E$721,5,FALSE)</f>
        <v>5.2766666666666673</v>
      </c>
    </row>
    <row r="135" spans="1:6" ht="15" x14ac:dyDescent="0.25">
      <c r="A135" s="1" t="s">
        <v>134</v>
      </c>
      <c r="B135" s="2">
        <v>12317.221</v>
      </c>
      <c r="C135" s="2">
        <v>69.162000000000006</v>
      </c>
      <c r="D135" s="5">
        <v>1935.1569999999999</v>
      </c>
      <c r="E135" s="4">
        <f>VLOOKUP($A135,monthly!$A$1:$E$721,4,FALSE)</f>
        <v>12.423333333333334</v>
      </c>
      <c r="F135" s="4">
        <f>VLOOKUP($A135,monthly!$A$1:$E$721,5,FALSE)</f>
        <v>5.5233333333333334</v>
      </c>
    </row>
    <row r="136" spans="1:6" ht="15" x14ac:dyDescent="0.25">
      <c r="A136" s="1" t="s">
        <v>135</v>
      </c>
      <c r="B136" s="2">
        <v>12471.01</v>
      </c>
      <c r="C136" s="2">
        <v>69.463999999999999</v>
      </c>
      <c r="D136" s="5">
        <v>1962.0530000000001</v>
      </c>
      <c r="E136" s="4">
        <f>VLOOKUP($A136,monthly!$A$1:$E$721,4,FALSE)</f>
        <v>12.556666666666667</v>
      </c>
      <c r="F136" s="4">
        <f>VLOOKUP($A136,monthly!$A$1:$E$721,5,FALSE)</f>
        <v>5.5333333333333323</v>
      </c>
    </row>
    <row r="137" spans="1:6" ht="15" x14ac:dyDescent="0.25">
      <c r="A137" s="1" t="s">
        <v>136</v>
      </c>
      <c r="B137" s="2">
        <v>12577.495000000001</v>
      </c>
      <c r="C137" s="2">
        <v>69.694999999999993</v>
      </c>
      <c r="D137" s="5">
        <v>1990.86</v>
      </c>
      <c r="E137" s="4">
        <f>VLOOKUP($A137,monthly!$A$1:$E$721,4,FALSE)</f>
        <v>12.706666666666669</v>
      </c>
      <c r="F137" s="4">
        <f>VLOOKUP($A137,monthly!$A$1:$E$721,5,FALSE)</f>
        <v>5.5066666666666668</v>
      </c>
    </row>
    <row r="138" spans="1:6" ht="15" x14ac:dyDescent="0.25">
      <c r="A138" s="1" t="s">
        <v>137</v>
      </c>
      <c r="B138" s="2">
        <v>12703.742</v>
      </c>
      <c r="C138" s="2">
        <v>69.793999999999997</v>
      </c>
      <c r="D138" s="5">
        <v>2078.2049999999999</v>
      </c>
      <c r="E138" s="4">
        <f>VLOOKUP($A138,monthly!$A$1:$E$721,4,FALSE)</f>
        <v>12.829999999999998</v>
      </c>
      <c r="F138" s="4">
        <f>VLOOKUP($A138,monthly!$A$1:$E$721,5,FALSE)</f>
        <v>5.5200000000000005</v>
      </c>
    </row>
    <row r="139" spans="1:6" ht="15" x14ac:dyDescent="0.25">
      <c r="A139" s="1" t="s">
        <v>138</v>
      </c>
      <c r="B139" s="2">
        <v>12821.339</v>
      </c>
      <c r="C139" s="2">
        <v>69.959000000000003</v>
      </c>
      <c r="D139" s="5">
        <v>2065.3359999999998</v>
      </c>
      <c r="E139" s="4">
        <f>VLOOKUP($A139,monthly!$A$1:$E$721,4,FALSE)</f>
        <v>12.96</v>
      </c>
      <c r="F139" s="4">
        <f>VLOOKUP($A139,monthly!$A$1:$E$721,5,FALSE)</f>
        <v>5.5</v>
      </c>
    </row>
    <row r="140" spans="1:6" ht="15" x14ac:dyDescent="0.25">
      <c r="A140" s="1" t="s">
        <v>139</v>
      </c>
      <c r="B140" s="2">
        <v>12982.752</v>
      </c>
      <c r="C140" s="2">
        <v>70.254999999999995</v>
      </c>
      <c r="D140" s="5">
        <v>2118.989</v>
      </c>
      <c r="E140" s="4">
        <f>VLOOKUP($A140,monthly!$A$1:$E$721,4,FALSE)</f>
        <v>13.063333333333333</v>
      </c>
      <c r="F140" s="4">
        <f>VLOOKUP($A140,monthly!$A$1:$E$721,5,FALSE)</f>
        <v>5.5333333333333341</v>
      </c>
    </row>
    <row r="141" spans="1:6" ht="15" x14ac:dyDescent="0.25">
      <c r="A141" s="1" t="s">
        <v>140</v>
      </c>
      <c r="B141" s="2">
        <v>13191.67</v>
      </c>
      <c r="C141" s="2">
        <v>70.453000000000003</v>
      </c>
      <c r="D141" s="5">
        <v>2183.3820000000001</v>
      </c>
      <c r="E141" s="4">
        <f>VLOOKUP($A141,monthly!$A$1:$E$721,4,FALSE)</f>
        <v>13.173333333333334</v>
      </c>
      <c r="F141" s="4">
        <f>VLOOKUP($A141,monthly!$A$1:$E$721,5,FALSE)</f>
        <v>4.8600000000000003</v>
      </c>
    </row>
    <row r="142" spans="1:6" ht="15" x14ac:dyDescent="0.25">
      <c r="A142" s="1" t="s">
        <v>141</v>
      </c>
      <c r="B142" s="2">
        <v>13315.597</v>
      </c>
      <c r="C142" s="2">
        <v>70.682000000000002</v>
      </c>
      <c r="D142" s="5">
        <v>2243.5479999999998</v>
      </c>
      <c r="E142" s="4">
        <f>VLOOKUP($A142,monthly!$A$1:$E$721,4,FALSE)</f>
        <v>13.299999999999999</v>
      </c>
      <c r="F142" s="4">
        <f>VLOOKUP($A142,monthly!$A$1:$E$721,5,FALSE)</f>
        <v>4.7333333333333334</v>
      </c>
    </row>
    <row r="143" spans="1:6" ht="15" x14ac:dyDescent="0.25">
      <c r="A143" s="1" t="s">
        <v>142</v>
      </c>
      <c r="B143" s="2">
        <v>13426.748</v>
      </c>
      <c r="C143" s="2">
        <v>70.948999999999998</v>
      </c>
      <c r="D143" s="5">
        <v>2244.6819999999998</v>
      </c>
      <c r="E143" s="4">
        <f>VLOOKUP($A143,monthly!$A$1:$E$721,4,FALSE)</f>
        <v>13.423333333333334</v>
      </c>
      <c r="F143" s="4">
        <f>VLOOKUP($A143,monthly!$A$1:$E$721,5,FALSE)</f>
        <v>4.746666666666667</v>
      </c>
    </row>
    <row r="144" spans="1:6" ht="15" x14ac:dyDescent="0.25">
      <c r="A144" s="1" t="s">
        <v>143</v>
      </c>
      <c r="B144" s="2">
        <v>13604.771000000001</v>
      </c>
      <c r="C144" s="2">
        <v>71.2</v>
      </c>
      <c r="D144" s="5">
        <v>2306.4699999999998</v>
      </c>
      <c r="E144" s="4">
        <f>VLOOKUP($A144,monthly!$A$1:$E$721,4,FALSE)</f>
        <v>13.549999999999999</v>
      </c>
      <c r="F144" s="4">
        <f>VLOOKUP($A144,monthly!$A$1:$E$721,5,FALSE)</f>
        <v>5.0933333333333337</v>
      </c>
    </row>
    <row r="145" spans="1:6" ht="15" x14ac:dyDescent="0.25">
      <c r="A145" s="1" t="s">
        <v>144</v>
      </c>
      <c r="B145" s="2">
        <v>13827.98</v>
      </c>
      <c r="C145" s="2">
        <v>71.594999999999999</v>
      </c>
      <c r="D145" s="5">
        <v>2367.9879999999998</v>
      </c>
      <c r="E145" s="4">
        <f>VLOOKUP($A145,monthly!$A$1:$E$721,4,FALSE)</f>
        <v>13.666666666666666</v>
      </c>
      <c r="F145" s="4">
        <f>VLOOKUP($A145,monthly!$A$1:$E$721,5,FALSE)</f>
        <v>5.3066666666666675</v>
      </c>
    </row>
    <row r="146" spans="1:6" ht="15" x14ac:dyDescent="0.25">
      <c r="A146" s="1" t="s">
        <v>145</v>
      </c>
      <c r="B146" s="2">
        <v>13878.147000000001</v>
      </c>
      <c r="C146" s="2">
        <v>72.070999999999998</v>
      </c>
      <c r="D146" s="5">
        <v>2351.223</v>
      </c>
      <c r="E146" s="4">
        <f>VLOOKUP($A146,monthly!$A$1:$E$721,4,FALSE)</f>
        <v>13.799999999999999</v>
      </c>
      <c r="F146" s="4">
        <f>VLOOKUP($A146,monthly!$A$1:$E$721,5,FALSE)</f>
        <v>5.6766666666666667</v>
      </c>
    </row>
    <row r="147" spans="1:6" ht="15" x14ac:dyDescent="0.25">
      <c r="A147" s="1" t="s">
        <v>146</v>
      </c>
      <c r="B147" s="2">
        <v>14130.907999999999</v>
      </c>
      <c r="C147" s="2">
        <v>72.52</v>
      </c>
      <c r="D147" s="5">
        <v>2490.5010000000002</v>
      </c>
      <c r="E147" s="4">
        <f>VLOOKUP($A147,monthly!$A$1:$E$721,4,FALSE)</f>
        <v>13.936666666666667</v>
      </c>
      <c r="F147" s="4">
        <f>VLOOKUP($A147,monthly!$A$1:$E$721,5,FALSE)</f>
        <v>6.2733333333333334</v>
      </c>
    </row>
    <row r="148" spans="1:6" ht="15" x14ac:dyDescent="0.25">
      <c r="A148" s="1" t="s">
        <v>147</v>
      </c>
      <c r="B148" s="2">
        <v>14145.312</v>
      </c>
      <c r="C148" s="2">
        <v>72.944000000000003</v>
      </c>
      <c r="D148" s="5">
        <v>2466.375</v>
      </c>
      <c r="E148" s="4">
        <f>VLOOKUP($A148,monthly!$A$1:$E$721,4,FALSE)</f>
        <v>14.07</v>
      </c>
      <c r="F148" s="4">
        <f>VLOOKUP($A148,monthly!$A$1:$E$721,5,FALSE)</f>
        <v>6.52</v>
      </c>
    </row>
    <row r="149" spans="1:6" ht="15" x14ac:dyDescent="0.25">
      <c r="A149" s="1" t="s">
        <v>148</v>
      </c>
      <c r="B149" s="2">
        <v>14229.764999999999</v>
      </c>
      <c r="C149" s="2">
        <v>73.337000000000003</v>
      </c>
      <c r="D149" s="5">
        <v>2471.5340000000001</v>
      </c>
      <c r="E149" s="4">
        <f>VLOOKUP($A149,monthly!$A$1:$E$721,4,FALSE)</f>
        <v>14.229999999999999</v>
      </c>
      <c r="F149" s="4">
        <f>VLOOKUP($A149,monthly!$A$1:$E$721,5,FALSE)</f>
        <v>6.4733333333333336</v>
      </c>
    </row>
    <row r="150" spans="1:6" ht="15" x14ac:dyDescent="0.25">
      <c r="A150" s="1" t="s">
        <v>149</v>
      </c>
      <c r="B150" s="2">
        <v>14183.12</v>
      </c>
      <c r="C150" s="2">
        <v>73.822000000000003</v>
      </c>
      <c r="D150" s="5">
        <v>2358.9690000000001</v>
      </c>
      <c r="E150" s="4">
        <f>VLOOKUP($A150,monthly!$A$1:$E$721,4,FALSE)</f>
        <v>14.356666666666667</v>
      </c>
      <c r="F150" s="4">
        <f>VLOOKUP($A150,monthly!$A$1:$E$721,5,FALSE)</f>
        <v>5.5933333333333337</v>
      </c>
    </row>
    <row r="151" spans="1:6" ht="15" x14ac:dyDescent="0.25">
      <c r="A151" s="1" t="s">
        <v>150</v>
      </c>
      <c r="B151" s="2">
        <v>14271.694</v>
      </c>
      <c r="C151" s="2">
        <v>74.266000000000005</v>
      </c>
      <c r="D151" s="5">
        <v>2362.652</v>
      </c>
      <c r="E151" s="4">
        <f>VLOOKUP($A151,monthly!$A$1:$E$721,4,FALSE)</f>
        <v>14.496666666666664</v>
      </c>
      <c r="F151" s="4">
        <f>VLOOKUP($A151,monthly!$A$1:$E$721,5,FALSE)</f>
        <v>4.3266666666666671</v>
      </c>
    </row>
    <row r="152" spans="1:6" ht="15" x14ac:dyDescent="0.25">
      <c r="A152" s="1" t="s">
        <v>151</v>
      </c>
      <c r="B152" s="2">
        <v>14214.516</v>
      </c>
      <c r="C152" s="2">
        <v>74.558000000000007</v>
      </c>
      <c r="D152" s="5">
        <v>2311.4090000000001</v>
      </c>
      <c r="E152" s="4">
        <f>VLOOKUP($A152,monthly!$A$1:$E$721,4,FALSE)</f>
        <v>14.593333333333334</v>
      </c>
      <c r="F152" s="4">
        <f>VLOOKUP($A152,monthly!$A$1:$E$721,5,FALSE)</f>
        <v>3.4966666666666666</v>
      </c>
    </row>
    <row r="153" spans="1:6" ht="15" x14ac:dyDescent="0.25">
      <c r="A153" s="1" t="s">
        <v>152</v>
      </c>
      <c r="B153" s="2">
        <v>14253.574000000001</v>
      </c>
      <c r="C153" s="2">
        <v>74.792000000000002</v>
      </c>
      <c r="D153" s="5">
        <v>2196.5540000000001</v>
      </c>
      <c r="E153" s="4">
        <f>VLOOKUP($A153,monthly!$A$1:$E$721,4,FALSE)</f>
        <v>14.703333333333333</v>
      </c>
      <c r="F153" s="4">
        <f>VLOOKUP($A153,monthly!$A$1:$E$721,5,FALSE)</f>
        <v>2.1333333333333333</v>
      </c>
    </row>
    <row r="154" spans="1:6" ht="15" x14ac:dyDescent="0.25">
      <c r="A154" s="1" t="s">
        <v>153</v>
      </c>
      <c r="B154" s="2">
        <v>14372.785</v>
      </c>
      <c r="C154" s="2">
        <v>75.027000000000001</v>
      </c>
      <c r="D154" s="5">
        <v>2262.0709999999999</v>
      </c>
      <c r="E154" s="4">
        <f>VLOOKUP($A154,monthly!$A$1:$E$721,4,FALSE)</f>
        <v>14.786666666666667</v>
      </c>
      <c r="F154" s="4">
        <f>VLOOKUP($A154,monthly!$A$1:$E$721,5,FALSE)</f>
        <v>1.7333333333333332</v>
      </c>
    </row>
    <row r="155" spans="1:6" ht="15" x14ac:dyDescent="0.25">
      <c r="A155" s="1" t="s">
        <v>154</v>
      </c>
      <c r="B155" s="2">
        <v>14460.848</v>
      </c>
      <c r="C155" s="2">
        <v>75.289000000000001</v>
      </c>
      <c r="D155" s="5">
        <v>2298.9389999999999</v>
      </c>
      <c r="E155" s="4">
        <f>VLOOKUP($A155,monthly!$A$1:$E$721,4,FALSE)</f>
        <v>14.883333333333333</v>
      </c>
      <c r="F155" s="4">
        <f>VLOOKUP($A155,monthly!$A$1:$E$721,5,FALSE)</f>
        <v>1.75</v>
      </c>
    </row>
    <row r="156" spans="1:6" ht="15" x14ac:dyDescent="0.25">
      <c r="A156" s="1" t="s">
        <v>155</v>
      </c>
      <c r="B156" s="2">
        <v>14519.633</v>
      </c>
      <c r="C156" s="2">
        <v>75.650000000000006</v>
      </c>
      <c r="D156" s="5">
        <v>2295.9830000000002</v>
      </c>
      <c r="E156" s="4">
        <f>VLOOKUP($A156,monthly!$A$1:$E$721,4,FALSE)</f>
        <v>15.016666666666666</v>
      </c>
      <c r="F156" s="4">
        <f>VLOOKUP($A156,monthly!$A$1:$E$721,5,FALSE)</f>
        <v>1.74</v>
      </c>
    </row>
    <row r="157" spans="1:6" ht="15" x14ac:dyDescent="0.25">
      <c r="A157" s="1" t="s">
        <v>156</v>
      </c>
      <c r="B157" s="2">
        <v>14537.58</v>
      </c>
      <c r="C157" s="2">
        <v>76.088999999999999</v>
      </c>
      <c r="D157" s="5">
        <v>2293.7460000000001</v>
      </c>
      <c r="E157" s="4">
        <f>VLOOKUP($A157,monthly!$A$1:$E$721,4,FALSE)</f>
        <v>15.153333333333331</v>
      </c>
      <c r="F157" s="4">
        <f>VLOOKUP($A157,monthly!$A$1:$E$721,5,FALSE)</f>
        <v>1.4433333333333334</v>
      </c>
    </row>
    <row r="158" spans="1:6" ht="15" x14ac:dyDescent="0.25">
      <c r="A158" s="1" t="s">
        <v>157</v>
      </c>
      <c r="B158" s="2">
        <v>14614.141</v>
      </c>
      <c r="C158" s="2">
        <v>76.460999999999999</v>
      </c>
      <c r="D158" s="5">
        <v>2312.4650000000001</v>
      </c>
      <c r="E158" s="4">
        <f>VLOOKUP($A158,monthly!$A$1:$E$721,4,FALSE)</f>
        <v>15.256666666666666</v>
      </c>
      <c r="F158" s="4">
        <f>VLOOKUP($A158,monthly!$A$1:$E$721,5,FALSE)</f>
        <v>1.25</v>
      </c>
    </row>
    <row r="159" spans="1:6" ht="15" x14ac:dyDescent="0.25">
      <c r="A159" s="1" t="s">
        <v>158</v>
      </c>
      <c r="B159" s="2">
        <v>14743.566999999999</v>
      </c>
      <c r="C159" s="2">
        <v>76.73</v>
      </c>
      <c r="D159" s="5">
        <v>2327.4920000000002</v>
      </c>
      <c r="E159" s="4">
        <f>VLOOKUP($A159,monthly!$A$1:$E$721,4,FALSE)</f>
        <v>15.323333333333332</v>
      </c>
      <c r="F159" s="4">
        <f>VLOOKUP($A159,monthly!$A$1:$E$721,5,FALSE)</f>
        <v>1.2466666666666668</v>
      </c>
    </row>
    <row r="160" spans="1:6" ht="15" x14ac:dyDescent="0.25">
      <c r="A160" s="1" t="s">
        <v>159</v>
      </c>
      <c r="B160" s="2">
        <v>14988.781999999999</v>
      </c>
      <c r="C160" s="2">
        <v>77.168999999999997</v>
      </c>
      <c r="D160" s="5">
        <v>2411.6379999999999</v>
      </c>
      <c r="E160" s="4">
        <f>VLOOKUP($A160,monthly!$A$1:$E$721,4,FALSE)</f>
        <v>15.413333333333334</v>
      </c>
      <c r="F160" s="4">
        <f>VLOOKUP($A160,monthly!$A$1:$E$721,5,FALSE)</f>
        <v>1.0166666666666666</v>
      </c>
    </row>
    <row r="161" spans="1:6" ht="15" x14ac:dyDescent="0.25">
      <c r="A161" s="1" t="s">
        <v>160</v>
      </c>
      <c r="B161" s="2">
        <v>15162.76</v>
      </c>
      <c r="C161" s="2">
        <v>77.638999999999996</v>
      </c>
      <c r="D161" s="5">
        <v>2493.9279999999999</v>
      </c>
      <c r="E161" s="4">
        <f>VLOOKUP($A161,monthly!$A$1:$E$721,4,FALSE)</f>
        <v>15.450000000000001</v>
      </c>
      <c r="F161" s="4">
        <f>VLOOKUP($A161,monthly!$A$1:$E$721,5,FALSE)</f>
        <v>0.99666666666666659</v>
      </c>
    </row>
    <row r="162" spans="1:6" ht="15" x14ac:dyDescent="0.25">
      <c r="A162" s="1" t="s">
        <v>161</v>
      </c>
      <c r="B162" s="2">
        <v>15248.68</v>
      </c>
      <c r="C162" s="2">
        <v>78.192999999999998</v>
      </c>
      <c r="D162" s="5">
        <v>2498.14</v>
      </c>
      <c r="E162" s="4">
        <f>VLOOKUP($A162,monthly!$A$1:$E$721,4,FALSE)</f>
        <v>15.536666666666667</v>
      </c>
      <c r="F162" s="4">
        <f>VLOOKUP($A162,monthly!$A$1:$E$721,5,FALSE)</f>
        <v>1.0033333333333332</v>
      </c>
    </row>
    <row r="163" spans="1:6" ht="15" x14ac:dyDescent="0.25">
      <c r="A163" s="1" t="s">
        <v>162</v>
      </c>
      <c r="B163" s="2">
        <v>15366.85</v>
      </c>
      <c r="C163" s="2">
        <v>78.823999999999998</v>
      </c>
      <c r="D163" s="5">
        <v>2597.5070000000001</v>
      </c>
      <c r="E163" s="4">
        <f>VLOOKUP($A163,monthly!$A$1:$E$721,4,FALSE)</f>
        <v>15.63</v>
      </c>
      <c r="F163" s="4">
        <f>VLOOKUP($A163,monthly!$A$1:$E$721,5,FALSE)</f>
        <v>1.01</v>
      </c>
    </row>
    <row r="164" spans="1:6" ht="15" x14ac:dyDescent="0.25">
      <c r="A164" s="1" t="s">
        <v>163</v>
      </c>
      <c r="B164" s="2">
        <v>15512.619000000001</v>
      </c>
      <c r="C164" s="2">
        <v>79.323999999999998</v>
      </c>
      <c r="D164" s="5">
        <v>2638.672</v>
      </c>
      <c r="E164" s="4">
        <f>VLOOKUP($A164,monthly!$A$1:$E$721,4,FALSE)</f>
        <v>15.733333333333334</v>
      </c>
      <c r="F164" s="4">
        <f>VLOOKUP($A164,monthly!$A$1:$E$721,5,FALSE)</f>
        <v>1.4333333333333333</v>
      </c>
    </row>
    <row r="165" spans="1:6" ht="15" x14ac:dyDescent="0.25">
      <c r="A165" s="1" t="s">
        <v>164</v>
      </c>
      <c r="B165" s="2">
        <v>15670.88</v>
      </c>
      <c r="C165" s="2">
        <v>79.938999999999993</v>
      </c>
      <c r="D165" s="5">
        <v>2693.5749999999998</v>
      </c>
      <c r="E165" s="4">
        <f>VLOOKUP($A165,monthly!$A$1:$E$721,4,FALSE)</f>
        <v>15.836666666666666</v>
      </c>
      <c r="F165" s="4">
        <f>VLOOKUP($A165,monthly!$A$1:$E$721,5,FALSE)</f>
        <v>1.95</v>
      </c>
    </row>
    <row r="166" spans="1:6" ht="15" x14ac:dyDescent="0.25">
      <c r="A166" s="1" t="s">
        <v>165</v>
      </c>
      <c r="B166" s="2">
        <v>15844.727000000001</v>
      </c>
      <c r="C166" s="2">
        <v>80.578000000000003</v>
      </c>
      <c r="D166" s="5">
        <v>2769.261</v>
      </c>
      <c r="E166" s="4">
        <f>VLOOKUP($A166,monthly!$A$1:$E$721,4,FALSE)</f>
        <v>15.933333333333332</v>
      </c>
      <c r="F166" s="4">
        <f>VLOOKUP($A166,monthly!$A$1:$E$721,5,FALSE)</f>
        <v>2.4699999999999998</v>
      </c>
    </row>
    <row r="167" spans="1:6" ht="15" x14ac:dyDescent="0.25">
      <c r="A167" s="1" t="s">
        <v>166</v>
      </c>
      <c r="B167" s="2">
        <v>15922.781999999999</v>
      </c>
      <c r="C167" s="2">
        <v>81.158000000000001</v>
      </c>
      <c r="D167" s="5">
        <v>2733.2249999999999</v>
      </c>
      <c r="E167" s="4">
        <f>VLOOKUP($A167,monthly!$A$1:$E$721,4,FALSE)</f>
        <v>16.043333333333333</v>
      </c>
      <c r="F167" s="4">
        <f>VLOOKUP($A167,monthly!$A$1:$E$721,5,FALSE)</f>
        <v>2.9433333333333334</v>
      </c>
    </row>
    <row r="168" spans="1:6" ht="15" x14ac:dyDescent="0.25">
      <c r="A168" s="1" t="s">
        <v>167</v>
      </c>
      <c r="B168" s="2">
        <v>16047.587</v>
      </c>
      <c r="C168" s="2">
        <v>81.897999999999996</v>
      </c>
      <c r="D168" s="5">
        <v>2769.1060000000002</v>
      </c>
      <c r="E168" s="4">
        <f>VLOOKUP($A168,monthly!$A$1:$E$721,4,FALSE)</f>
        <v>16.170000000000002</v>
      </c>
      <c r="F168" s="4">
        <f>VLOOKUP($A168,monthly!$A$1:$E$721,5,FALSE)</f>
        <v>3.4599999999999995</v>
      </c>
    </row>
    <row r="169" spans="1:6" ht="15" x14ac:dyDescent="0.25">
      <c r="A169" s="1" t="s">
        <v>168</v>
      </c>
      <c r="B169" s="2">
        <v>16136.734</v>
      </c>
      <c r="C169" s="2">
        <v>82.570999999999998</v>
      </c>
      <c r="D169" s="5">
        <v>2857.35</v>
      </c>
      <c r="E169" s="4">
        <f>VLOOKUP($A169,monthly!$A$1:$E$721,4,FALSE)</f>
        <v>16.316666666666666</v>
      </c>
      <c r="F169" s="4">
        <f>VLOOKUP($A169,monthly!$A$1:$E$721,5,FALSE)</f>
        <v>3.98</v>
      </c>
    </row>
    <row r="170" spans="1:6" ht="15" x14ac:dyDescent="0.25">
      <c r="A170" s="1" t="s">
        <v>169</v>
      </c>
      <c r="B170" s="2">
        <v>16353.834999999999</v>
      </c>
      <c r="C170" s="2">
        <v>83.156000000000006</v>
      </c>
      <c r="D170" s="5">
        <v>2899.2289999999998</v>
      </c>
      <c r="E170" s="4">
        <f>VLOOKUP($A170,monthly!$A$1:$E$721,4,FALSE)</f>
        <v>16.476666666666667</v>
      </c>
      <c r="F170" s="4">
        <f>VLOOKUP($A170,monthly!$A$1:$E$721,5,FALSE)</f>
        <v>4.456666666666667</v>
      </c>
    </row>
    <row r="171" spans="1:6" ht="15" x14ac:dyDescent="0.25">
      <c r="A171" s="1" t="s">
        <v>170</v>
      </c>
      <c r="B171" s="2">
        <v>16396.151000000002</v>
      </c>
      <c r="C171" s="2">
        <v>83.882000000000005</v>
      </c>
      <c r="D171" s="5">
        <v>2882.5639999999999</v>
      </c>
      <c r="E171" s="4">
        <f>VLOOKUP($A171,monthly!$A$1:$E$721,4,FALSE)</f>
        <v>16.666666666666668</v>
      </c>
      <c r="F171" s="4">
        <f>VLOOKUP($A171,monthly!$A$1:$E$721,5,FALSE)</f>
        <v>4.9066666666666672</v>
      </c>
    </row>
    <row r="172" spans="1:6" ht="15" x14ac:dyDescent="0.25">
      <c r="A172" s="1" t="s">
        <v>171</v>
      </c>
      <c r="B172" s="2">
        <v>16420.738000000001</v>
      </c>
      <c r="C172" s="2">
        <v>84.468000000000004</v>
      </c>
      <c r="D172" s="5">
        <v>2871.5889999999999</v>
      </c>
      <c r="E172" s="4">
        <f>VLOOKUP($A172,monthly!$A$1:$E$721,4,FALSE)</f>
        <v>16.823333333333334</v>
      </c>
      <c r="F172" s="4">
        <f>VLOOKUP($A172,monthly!$A$1:$E$721,5,FALSE)</f>
        <v>5.246666666666667</v>
      </c>
    </row>
    <row r="173" spans="1:6" ht="15" x14ac:dyDescent="0.25">
      <c r="A173" s="1" t="s">
        <v>172</v>
      </c>
      <c r="B173" s="2">
        <v>16561.866000000002</v>
      </c>
      <c r="C173" s="2">
        <v>84.77</v>
      </c>
      <c r="D173" s="5">
        <v>2818.2280000000001</v>
      </c>
      <c r="E173" s="4">
        <f>VLOOKUP($A173,monthly!$A$1:$E$721,4,FALSE)</f>
        <v>16.986666666666665</v>
      </c>
      <c r="F173" s="4">
        <f>VLOOKUP($A173,monthly!$A$1:$E$721,5,FALSE)</f>
        <v>5.246666666666667</v>
      </c>
    </row>
    <row r="174" spans="1:6" ht="15" x14ac:dyDescent="0.25">
      <c r="A174" s="1" t="s">
        <v>173</v>
      </c>
      <c r="B174" s="2">
        <v>16611.689999999999</v>
      </c>
      <c r="C174" s="2">
        <v>85.575999999999993</v>
      </c>
      <c r="D174" s="5">
        <v>2800.0369999999998</v>
      </c>
      <c r="E174" s="4">
        <f>VLOOKUP($A174,monthly!$A$1:$E$721,4,FALSE)</f>
        <v>17.153333333333332</v>
      </c>
      <c r="F174" s="4">
        <f>VLOOKUP($A174,monthly!$A$1:$E$721,5,FALSE)</f>
        <v>5.2566666666666668</v>
      </c>
    </row>
    <row r="175" spans="1:6" ht="15" x14ac:dyDescent="0.25">
      <c r="A175" s="1" t="s">
        <v>174</v>
      </c>
      <c r="B175" s="2">
        <v>16713.313999999998</v>
      </c>
      <c r="C175" s="2">
        <v>86.171000000000006</v>
      </c>
      <c r="D175" s="5">
        <v>2827.01</v>
      </c>
      <c r="E175" s="4">
        <f>VLOOKUP($A175,monthly!$A$1:$E$721,4,FALSE)</f>
        <v>17.343333333333334</v>
      </c>
      <c r="F175" s="4">
        <f>VLOOKUP($A175,monthly!$A$1:$E$721,5,FALSE)</f>
        <v>5.25</v>
      </c>
    </row>
    <row r="176" spans="1:6" ht="15" x14ac:dyDescent="0.25">
      <c r="A176" s="1" t="s">
        <v>175</v>
      </c>
      <c r="B176" s="2">
        <v>16809.587</v>
      </c>
      <c r="C176" s="2">
        <v>86.641999999999996</v>
      </c>
      <c r="D176" s="5">
        <v>2794.5259999999998</v>
      </c>
      <c r="E176" s="4">
        <f>VLOOKUP($A176,monthly!$A$1:$E$721,4,FALSE)</f>
        <v>17.503333333333334</v>
      </c>
      <c r="F176" s="4">
        <f>VLOOKUP($A176,monthly!$A$1:$E$721,5,FALSE)</f>
        <v>5.0733333333333333</v>
      </c>
    </row>
    <row r="177" spans="1:6" ht="15" x14ac:dyDescent="0.25">
      <c r="A177" s="1" t="s">
        <v>176</v>
      </c>
      <c r="B177" s="2">
        <v>16915.190999999999</v>
      </c>
      <c r="C177" s="2">
        <v>86.992999999999995</v>
      </c>
      <c r="D177" s="5">
        <v>2762.518</v>
      </c>
      <c r="E177" s="4">
        <f>VLOOKUP($A177,monthly!$A$1:$E$721,4,FALSE)</f>
        <v>17.633333333333329</v>
      </c>
      <c r="F177" s="4">
        <f>VLOOKUP($A177,monthly!$A$1:$E$721,5,FALSE)</f>
        <v>4.496666666666667</v>
      </c>
    </row>
    <row r="178" spans="1:6" ht="15" x14ac:dyDescent="0.25">
      <c r="A178" s="1" t="s">
        <v>177</v>
      </c>
      <c r="B178" s="2">
        <v>16843.003000000001</v>
      </c>
      <c r="C178" s="2">
        <v>87.314999999999998</v>
      </c>
      <c r="D178" s="5">
        <v>2686.998</v>
      </c>
      <c r="E178" s="4">
        <f>VLOOKUP($A178,monthly!$A$1:$E$721,4,FALSE)</f>
        <v>17.806666666666668</v>
      </c>
      <c r="F178" s="4">
        <f>VLOOKUP($A178,monthly!$A$1:$E$721,5,FALSE)</f>
        <v>3.1766666666666663</v>
      </c>
    </row>
    <row r="179" spans="1:6" ht="15" x14ac:dyDescent="0.25">
      <c r="A179" s="1" t="s">
        <v>178</v>
      </c>
      <c r="B179" s="2">
        <v>16943.291000000001</v>
      </c>
      <c r="C179" s="2">
        <v>87.738</v>
      </c>
      <c r="D179" s="5">
        <v>2641.85</v>
      </c>
      <c r="E179" s="4">
        <f>VLOOKUP($A179,monthly!$A$1:$E$721,4,FALSE)</f>
        <v>17.976666666666667</v>
      </c>
      <c r="F179" s="4">
        <f>VLOOKUP($A179,monthly!$A$1:$E$721,5,FALSE)</f>
        <v>2.0866666666666664</v>
      </c>
    </row>
    <row r="180" spans="1:6" ht="15" x14ac:dyDescent="0.25">
      <c r="A180" s="1" t="s">
        <v>179</v>
      </c>
      <c r="B180" s="2">
        <v>16854.294999999998</v>
      </c>
      <c r="C180" s="2">
        <v>88.399000000000001</v>
      </c>
      <c r="D180" s="5">
        <v>2589.2539999999999</v>
      </c>
      <c r="E180" s="4">
        <f>VLOOKUP($A180,monthly!$A$1:$E$721,4,FALSE)</f>
        <v>18.16</v>
      </c>
      <c r="F180" s="4">
        <f>VLOOKUP($A180,monthly!$A$1:$E$721,5,FALSE)</f>
        <v>1.9400000000000002</v>
      </c>
    </row>
    <row r="181" spans="1:6" ht="15" x14ac:dyDescent="0.25">
      <c r="A181" s="1" t="s">
        <v>180</v>
      </c>
      <c r="B181" s="2">
        <v>16485.349999999999</v>
      </c>
      <c r="C181" s="2">
        <v>88.613</v>
      </c>
      <c r="D181" s="5">
        <v>2338.9380000000001</v>
      </c>
      <c r="E181" s="4">
        <f>VLOOKUP($A181,monthly!$A$1:$E$721,4,FALSE)</f>
        <v>18.313333333333333</v>
      </c>
      <c r="F181" s="4">
        <f>VLOOKUP($A181,monthly!$A$1:$E$721,5,FALSE)</f>
        <v>0.5066666666666666</v>
      </c>
    </row>
    <row r="182" spans="1:6" ht="15" x14ac:dyDescent="0.25">
      <c r="A182" s="1" t="s">
        <v>181</v>
      </c>
      <c r="B182" s="2">
        <v>16298.262000000001</v>
      </c>
      <c r="C182" s="2">
        <v>88.543000000000006</v>
      </c>
      <c r="D182" s="5">
        <v>2073.1350000000002</v>
      </c>
      <c r="E182" s="4">
        <f>VLOOKUP($A182,monthly!$A$1:$E$721,4,FALSE)</f>
        <v>18.443333333333332</v>
      </c>
      <c r="F182" s="4">
        <f>VLOOKUP($A182,monthly!$A$1:$E$721,5,FALSE)</f>
        <v>0.18333333333333335</v>
      </c>
    </row>
    <row r="183" spans="1:6" ht="15" x14ac:dyDescent="0.25">
      <c r="A183" s="1" t="s">
        <v>182</v>
      </c>
      <c r="B183" s="2">
        <v>16269.145</v>
      </c>
      <c r="C183" s="2">
        <v>88.396000000000001</v>
      </c>
      <c r="D183" s="5">
        <v>1952.6410000000001</v>
      </c>
      <c r="E183" s="4">
        <f>VLOOKUP($A183,monthly!$A$1:$E$721,4,FALSE)</f>
        <v>18.533333333333331</v>
      </c>
      <c r="F183" s="4">
        <f>VLOOKUP($A183,monthly!$A$1:$E$721,5,FALSE)</f>
        <v>0.17999999999999997</v>
      </c>
    </row>
    <row r="184" spans="1:6" ht="15" x14ac:dyDescent="0.25">
      <c r="A184" s="1" t="s">
        <v>183</v>
      </c>
      <c r="B184" s="2">
        <v>16326.281000000001</v>
      </c>
      <c r="C184" s="2">
        <v>88.501000000000005</v>
      </c>
      <c r="D184" s="5">
        <v>1946.867</v>
      </c>
      <c r="E184" s="4">
        <f>VLOOKUP($A184,monthly!$A$1:$E$721,4,FALSE)</f>
        <v>18.653333333333336</v>
      </c>
      <c r="F184" s="4">
        <f>VLOOKUP($A184,monthly!$A$1:$E$721,5,FALSE)</f>
        <v>0.15666666666666665</v>
      </c>
    </row>
    <row r="185" spans="1:6" ht="15" x14ac:dyDescent="0.25">
      <c r="A185" s="1" t="s">
        <v>184</v>
      </c>
      <c r="B185" s="2">
        <v>16502.754000000001</v>
      </c>
      <c r="C185" s="2">
        <v>88.781000000000006</v>
      </c>
      <c r="D185" s="5">
        <v>2128.5160000000001</v>
      </c>
      <c r="E185" s="4">
        <f>VLOOKUP($A185,monthly!$A$1:$E$721,4,FALSE)</f>
        <v>18.793333333333333</v>
      </c>
      <c r="F185" s="4">
        <f>VLOOKUP($A185,monthly!$A$1:$E$721,5,FALSE)</f>
        <v>0.12</v>
      </c>
    </row>
    <row r="186" spans="1:6" ht="15" x14ac:dyDescent="0.25">
      <c r="A186" s="1" t="s">
        <v>185</v>
      </c>
      <c r="B186" s="2">
        <v>16582.71</v>
      </c>
      <c r="C186" s="2">
        <v>89.036000000000001</v>
      </c>
      <c r="D186" s="5">
        <v>2174.335</v>
      </c>
      <c r="E186" s="4">
        <f>VLOOKUP($A186,monthly!$A$1:$E$721,4,FALSE)</f>
        <v>18.900000000000002</v>
      </c>
      <c r="F186" s="4">
        <f>VLOOKUP($A186,monthly!$A$1:$E$721,5,FALSE)</f>
        <v>0.13333333333333333</v>
      </c>
    </row>
    <row r="187" spans="1:6" ht="15" x14ac:dyDescent="0.25">
      <c r="A187" s="1" t="s">
        <v>186</v>
      </c>
      <c r="B187" s="2">
        <v>16743.162</v>
      </c>
      <c r="C187" s="2">
        <v>89.471000000000004</v>
      </c>
      <c r="D187" s="5">
        <v>2288.4690000000001</v>
      </c>
      <c r="E187" s="4">
        <f>VLOOKUP($A187,monthly!$A$1:$E$721,4,FALSE)</f>
        <v>19</v>
      </c>
      <c r="F187" s="4">
        <f>VLOOKUP($A187,monthly!$A$1:$E$721,5,FALSE)</f>
        <v>0.19333333333333336</v>
      </c>
    </row>
    <row r="188" spans="1:6" ht="15" x14ac:dyDescent="0.25">
      <c r="A188" s="1" t="s">
        <v>187</v>
      </c>
      <c r="B188" s="2">
        <v>16872.266</v>
      </c>
      <c r="C188" s="2">
        <v>89.742999999999995</v>
      </c>
      <c r="D188" s="5">
        <v>2390.0720000000001</v>
      </c>
      <c r="E188" s="4">
        <f>VLOOKUP($A188,monthly!$A$1:$E$721,4,FALSE)</f>
        <v>19.086666666666666</v>
      </c>
      <c r="F188" s="4">
        <f>VLOOKUP($A188,monthly!$A$1:$E$721,5,FALSE)</f>
        <v>0.18666666666666668</v>
      </c>
    </row>
    <row r="189" spans="1:6" ht="15" x14ac:dyDescent="0.25">
      <c r="A189" s="1" t="s">
        <v>188</v>
      </c>
      <c r="B189" s="2">
        <v>16960.864000000001</v>
      </c>
      <c r="C189" s="2">
        <v>90.263999999999996</v>
      </c>
      <c r="D189" s="5">
        <v>2383.297</v>
      </c>
      <c r="E189" s="4">
        <f>VLOOKUP($A189,monthly!$A$1:$E$721,4,FALSE)</f>
        <v>19.209999999999997</v>
      </c>
      <c r="F189" s="4">
        <f>VLOOKUP($A189,monthly!$A$1:$E$721,5,FALSE)</f>
        <v>0.18666666666666668</v>
      </c>
    </row>
    <row r="190" spans="1:6" ht="15" x14ac:dyDescent="0.25">
      <c r="A190" s="1" t="s">
        <v>189</v>
      </c>
      <c r="B190" s="2">
        <v>16920.632000000001</v>
      </c>
      <c r="C190" s="2">
        <v>90.725999999999999</v>
      </c>
      <c r="D190" s="5">
        <v>2338.9009999999998</v>
      </c>
      <c r="E190" s="4">
        <f>VLOOKUP($A190,monthly!$A$1:$E$721,4,FALSE)</f>
        <v>19.316666666666666</v>
      </c>
      <c r="F190" s="4">
        <f>VLOOKUP($A190,monthly!$A$1:$E$721,5,FALSE)</f>
        <v>0.15666666666666668</v>
      </c>
    </row>
    <row r="191" spans="1:6" ht="15" x14ac:dyDescent="0.25">
      <c r="A191" s="1" t="s">
        <v>190</v>
      </c>
      <c r="B191" s="2">
        <v>17035.114000000001</v>
      </c>
      <c r="C191" s="2">
        <v>91.325999999999993</v>
      </c>
      <c r="D191" s="5">
        <v>2434.538</v>
      </c>
      <c r="E191" s="4">
        <f>VLOOKUP($A191,monthly!$A$1:$E$721,4,FALSE)</f>
        <v>19.393333333333331</v>
      </c>
      <c r="F191" s="4">
        <f>VLOOKUP($A191,monthly!$A$1:$E$721,5,FALSE)</f>
        <v>9.3333333333333338E-2</v>
      </c>
    </row>
    <row r="192" spans="1:6" ht="15" x14ac:dyDescent="0.25">
      <c r="A192" s="1" t="s">
        <v>191</v>
      </c>
      <c r="B192" s="2">
        <v>17031.312999999998</v>
      </c>
      <c r="C192" s="2">
        <v>91.876000000000005</v>
      </c>
      <c r="D192" s="5">
        <v>2445.2959999999998</v>
      </c>
      <c r="E192" s="4">
        <f>VLOOKUP($A192,monthly!$A$1:$E$721,4,FALSE)</f>
        <v>19.476666666666663</v>
      </c>
      <c r="F192" s="4">
        <f>VLOOKUP($A192,monthly!$A$1:$E$721,5,FALSE)</f>
        <v>8.3333333333333329E-2</v>
      </c>
    </row>
    <row r="193" spans="1:6" ht="15" x14ac:dyDescent="0.25">
      <c r="A193" s="1" t="s">
        <v>192</v>
      </c>
      <c r="B193" s="2">
        <v>17222.582999999999</v>
      </c>
      <c r="C193" s="2">
        <v>91.984999999999999</v>
      </c>
      <c r="D193" s="5">
        <v>2633.8290000000002</v>
      </c>
      <c r="E193" s="4">
        <f>VLOOKUP($A193,monthly!$A$1:$E$721,4,FALSE)</f>
        <v>19.563333333333333</v>
      </c>
      <c r="F193" s="4">
        <f>VLOOKUP($A193,monthly!$A$1:$E$721,5,FALSE)</f>
        <v>7.3333333333333348E-2</v>
      </c>
    </row>
    <row r="194" spans="1:6" ht="15" x14ac:dyDescent="0.25">
      <c r="A194" s="1" t="s">
        <v>193</v>
      </c>
      <c r="B194" s="2">
        <v>17367.009999999998</v>
      </c>
      <c r="C194" s="2">
        <v>92.525000000000006</v>
      </c>
      <c r="D194" s="5">
        <v>2692.1790000000001</v>
      </c>
      <c r="E194" s="4">
        <f>VLOOKUP($A194,monthly!$A$1:$E$721,4,FALSE)</f>
        <v>19.606666666666666</v>
      </c>
      <c r="F194" s="4">
        <f>VLOOKUP($A194,monthly!$A$1:$E$721,5,FALSE)</f>
        <v>0.10333333333333333</v>
      </c>
    </row>
    <row r="195" spans="1:6" ht="15" x14ac:dyDescent="0.25">
      <c r="A195" s="1" t="s">
        <v>194</v>
      </c>
      <c r="B195" s="2">
        <v>17444.525000000001</v>
      </c>
      <c r="C195" s="2">
        <v>92.906999999999996</v>
      </c>
      <c r="D195" s="5">
        <v>2752.614</v>
      </c>
      <c r="E195" s="4">
        <f>VLOOKUP($A195,monthly!$A$1:$E$721,4,FALSE)</f>
        <v>19.686666666666667</v>
      </c>
      <c r="F195" s="4">
        <f>VLOOKUP($A195,monthly!$A$1:$E$721,5,FALSE)</f>
        <v>0.15333333333333335</v>
      </c>
    </row>
    <row r="196" spans="1:6" ht="15" x14ac:dyDescent="0.25">
      <c r="A196" s="1" t="s">
        <v>195</v>
      </c>
      <c r="B196" s="2">
        <v>17469.650000000001</v>
      </c>
      <c r="C196" s="2">
        <v>93.417000000000002</v>
      </c>
      <c r="D196" s="5">
        <v>2759.86</v>
      </c>
      <c r="E196" s="4">
        <f>VLOOKUP($A196,monthly!$A$1:$E$721,4,FALSE)</f>
        <v>19.756666666666664</v>
      </c>
      <c r="F196" s="4">
        <f>VLOOKUP($A196,monthly!$A$1:$E$721,5,FALSE)</f>
        <v>0.14333333333333334</v>
      </c>
    </row>
    <row r="197" spans="1:6" ht="15" x14ac:dyDescent="0.25">
      <c r="A197" s="1" t="s">
        <v>196</v>
      </c>
      <c r="B197" s="2">
        <v>17489.851999999999</v>
      </c>
      <c r="C197" s="2">
        <v>93.885000000000005</v>
      </c>
      <c r="D197" s="5">
        <v>2736.4229999999998</v>
      </c>
      <c r="E197" s="4">
        <f>VLOOKUP($A197,monthly!$A$1:$E$721,4,FALSE)</f>
        <v>19.846666666666664</v>
      </c>
      <c r="F197" s="4">
        <f>VLOOKUP($A197,monthly!$A$1:$E$721,5,FALSE)</f>
        <v>0.16</v>
      </c>
    </row>
    <row r="198" spans="1:6" ht="15" x14ac:dyDescent="0.25">
      <c r="A198" s="1" t="s">
        <v>197</v>
      </c>
      <c r="B198" s="2">
        <v>17662.400000000001</v>
      </c>
      <c r="C198" s="2">
        <v>94.257999999999996</v>
      </c>
      <c r="D198" s="5">
        <v>2845.38</v>
      </c>
      <c r="E198" s="4">
        <f>VLOOKUP($A198,monthly!$A$1:$E$721,4,FALSE)</f>
        <v>19.976666666666667</v>
      </c>
      <c r="F198" s="4">
        <f>VLOOKUP($A198,monthly!$A$1:$E$721,5,FALSE)</f>
        <v>0.14333333333333334</v>
      </c>
    </row>
    <row r="199" spans="1:6" ht="15" x14ac:dyDescent="0.25">
      <c r="A199" s="1" t="s">
        <v>198</v>
      </c>
      <c r="B199" s="2">
        <v>17709.670999999998</v>
      </c>
      <c r="C199" s="2">
        <v>94.460999999999999</v>
      </c>
      <c r="D199" s="5">
        <v>2882.489</v>
      </c>
      <c r="E199" s="4">
        <f>VLOOKUP($A199,monthly!$A$1:$E$721,4,FALSE)</f>
        <v>20.070000000000004</v>
      </c>
      <c r="F199" s="4">
        <f>VLOOKUP($A199,monthly!$A$1:$E$721,5,FALSE)</f>
        <v>0.11666666666666665</v>
      </c>
    </row>
    <row r="200" spans="1:6" ht="15" x14ac:dyDescent="0.25">
      <c r="A200" s="1" t="s">
        <v>199</v>
      </c>
      <c r="B200" s="2">
        <v>17860.45</v>
      </c>
      <c r="C200" s="2">
        <v>94.924000000000007</v>
      </c>
      <c r="D200" s="5">
        <v>2998.991</v>
      </c>
      <c r="E200" s="4">
        <f>VLOOKUP($A200,monthly!$A$1:$E$721,4,FALSE)</f>
        <v>20.183333333333334</v>
      </c>
      <c r="F200" s="4">
        <f>VLOOKUP($A200,monthly!$A$1:$E$721,5,FALSE)</f>
        <v>8.3333333333333329E-2</v>
      </c>
    </row>
    <row r="201" spans="1:6" ht="15" x14ac:dyDescent="0.25">
      <c r="A201" s="1" t="s">
        <v>200</v>
      </c>
      <c r="B201" s="2">
        <v>18016.147000000001</v>
      </c>
      <c r="C201" s="2">
        <v>95.426000000000002</v>
      </c>
      <c r="D201" s="5">
        <v>3027.8049999999998</v>
      </c>
      <c r="E201" s="4">
        <f>VLOOKUP($A201,monthly!$A$1:$E$721,4,FALSE)</f>
        <v>20.3</v>
      </c>
      <c r="F201" s="4">
        <f>VLOOKUP($A201,monthly!$A$1:$E$721,5,FALSE)</f>
        <v>8.666666666666667E-2</v>
      </c>
    </row>
    <row r="202" spans="1:6" ht="15" x14ac:dyDescent="0.25">
      <c r="A202" s="1" t="s">
        <v>201</v>
      </c>
      <c r="B202" s="2">
        <v>17953.973999999998</v>
      </c>
      <c r="C202" s="2">
        <v>95.787999999999997</v>
      </c>
      <c r="D202" s="5">
        <v>2998.1480000000001</v>
      </c>
      <c r="E202" s="4">
        <f>VLOOKUP($A202,monthly!$A$1:$E$721,4,FALSE)</f>
        <v>20.466666666666669</v>
      </c>
      <c r="F202" s="4">
        <f>VLOOKUP($A202,monthly!$A$1:$E$721,5,FALSE)</f>
        <v>7.3333333333333348E-2</v>
      </c>
    </row>
    <row r="203" spans="1:6" ht="15" x14ac:dyDescent="0.25">
      <c r="A203" s="1" t="s">
        <v>202</v>
      </c>
      <c r="B203" s="2">
        <v>18185.911</v>
      </c>
      <c r="C203" s="2">
        <v>96.33</v>
      </c>
      <c r="D203" s="5">
        <v>3121.3209999999999</v>
      </c>
      <c r="E203" s="4">
        <f>VLOOKUP($A203,monthly!$A$1:$E$721,4,FALSE)</f>
        <v>20.546666666666667</v>
      </c>
      <c r="F203" s="4">
        <f>VLOOKUP($A203,monthly!$A$1:$E$721,5,FALSE)</f>
        <v>9.3333333333333338E-2</v>
      </c>
    </row>
    <row r="204" spans="1:6" ht="15" x14ac:dyDescent="0.25">
      <c r="A204" s="1" t="s">
        <v>203</v>
      </c>
      <c r="B204" s="2">
        <v>18406.940999999999</v>
      </c>
      <c r="C204" s="2">
        <v>96.725999999999999</v>
      </c>
      <c r="D204" s="5">
        <v>3193.152</v>
      </c>
      <c r="E204" s="4">
        <f>VLOOKUP($A204,monthly!$A$1:$E$721,4,FALSE)</f>
        <v>20.646666666666665</v>
      </c>
      <c r="F204" s="4">
        <f>VLOOKUP($A204,monthly!$A$1:$E$721,5,FALSE)</f>
        <v>9.0000000000000011E-2</v>
      </c>
    </row>
    <row r="205" spans="1:6" ht="15" x14ac:dyDescent="0.25">
      <c r="A205" s="1" t="s">
        <v>204</v>
      </c>
      <c r="B205" s="2">
        <v>18500.030999999999</v>
      </c>
      <c r="C205" s="2">
        <v>96.822000000000003</v>
      </c>
      <c r="D205" s="5">
        <v>3203.3510000000001</v>
      </c>
      <c r="E205" s="4">
        <f>VLOOKUP($A205,monthly!$A$1:$E$721,4,FALSE)</f>
        <v>20.726666666666667</v>
      </c>
      <c r="F205" s="4">
        <f>VLOOKUP($A205,monthly!$A$1:$E$721,5,FALSE)</f>
        <v>9.9999999999999992E-2</v>
      </c>
    </row>
    <row r="206" spans="1:6" ht="15" x14ac:dyDescent="0.25">
      <c r="A206" s="1" t="s">
        <v>205</v>
      </c>
      <c r="B206" s="2">
        <v>18666.620999999999</v>
      </c>
      <c r="C206" s="2">
        <v>96.769000000000005</v>
      </c>
      <c r="D206" s="5">
        <v>3314.895</v>
      </c>
      <c r="E206" s="4">
        <f>VLOOKUP($A206,monthly!$A$1:$E$721,4,FALSE)</f>
        <v>20.849999999999998</v>
      </c>
      <c r="F206" s="4">
        <f>VLOOKUP($A206,monthly!$A$1:$E$721,5,FALSE)</f>
        <v>0.11</v>
      </c>
    </row>
    <row r="207" spans="1:6" ht="15" x14ac:dyDescent="0.25">
      <c r="A207" s="1" t="s">
        <v>206</v>
      </c>
      <c r="B207" s="2">
        <v>18782.242999999999</v>
      </c>
      <c r="C207" s="2">
        <v>97.325000000000003</v>
      </c>
      <c r="D207" s="5">
        <v>3328.049</v>
      </c>
      <c r="E207" s="4">
        <f>VLOOKUP($A207,monthly!$A$1:$E$721,4,FALSE)</f>
        <v>20.970000000000002</v>
      </c>
      <c r="F207" s="4">
        <f>VLOOKUP($A207,monthly!$A$1:$E$721,5,FALSE)</f>
        <v>0.12333333333333334</v>
      </c>
    </row>
    <row r="208" spans="1:6" ht="15" x14ac:dyDescent="0.25">
      <c r="A208" s="1" t="s">
        <v>207</v>
      </c>
      <c r="B208" s="2">
        <v>18857.418000000001</v>
      </c>
      <c r="C208" s="2">
        <v>97.582999999999998</v>
      </c>
      <c r="D208" s="5">
        <v>3335.27</v>
      </c>
      <c r="E208" s="4">
        <f>VLOOKUP($A208,monthly!$A$1:$E$721,4,FALSE)</f>
        <v>21.073333333333334</v>
      </c>
      <c r="F208" s="4">
        <f>VLOOKUP($A208,monthly!$A$1:$E$721,5,FALSE)</f>
        <v>0.13666666666666669</v>
      </c>
    </row>
    <row r="209" spans="1:6" ht="15" x14ac:dyDescent="0.25">
      <c r="A209" s="1" t="s">
        <v>208</v>
      </c>
      <c r="B209" s="2">
        <v>18892.205999999998</v>
      </c>
      <c r="C209" s="2">
        <v>97.581000000000003</v>
      </c>
      <c r="D209" s="5">
        <v>3315.3339999999998</v>
      </c>
      <c r="E209" s="4">
        <f>VLOOKUP($A209,monthly!$A$1:$E$721,4,FALSE)</f>
        <v>21.210000000000004</v>
      </c>
      <c r="F209" s="4">
        <f>VLOOKUP($A209,monthly!$A$1:$E$721,5,FALSE)</f>
        <v>0.16</v>
      </c>
    </row>
    <row r="210" spans="1:6" ht="15" x14ac:dyDescent="0.25">
      <c r="A210" s="1" t="s">
        <v>209</v>
      </c>
      <c r="B210" s="2">
        <v>19001.689999999999</v>
      </c>
      <c r="C210" s="2">
        <v>97.495999999999995</v>
      </c>
      <c r="D210" s="5">
        <v>3301.09</v>
      </c>
      <c r="E210" s="4">
        <f>VLOOKUP($A210,monthly!$A$1:$E$721,4,FALSE)</f>
        <v>21.343333333333334</v>
      </c>
      <c r="F210" s="4">
        <f>VLOOKUP($A210,monthly!$A$1:$E$721,5,FALSE)</f>
        <v>0.36000000000000004</v>
      </c>
    </row>
    <row r="211" spans="1:6" ht="15" x14ac:dyDescent="0.25">
      <c r="A211" s="1" t="s">
        <v>210</v>
      </c>
      <c r="B211" s="2">
        <v>19062.708999999999</v>
      </c>
      <c r="C211" s="2">
        <v>98.159000000000006</v>
      </c>
      <c r="D211" s="5">
        <v>3287.0329999999999</v>
      </c>
      <c r="E211" s="4">
        <f>VLOOKUP($A211,monthly!$A$1:$E$721,4,FALSE)</f>
        <v>21.483333333333334</v>
      </c>
      <c r="F211" s="4">
        <f>VLOOKUP($A211,monthly!$A$1:$E$721,5,FALSE)</f>
        <v>0.37333333333333335</v>
      </c>
    </row>
    <row r="212" spans="1:6" ht="15" x14ac:dyDescent="0.25">
      <c r="A212" s="1" t="s">
        <v>211</v>
      </c>
      <c r="B212" s="2">
        <v>19197.937999999998</v>
      </c>
      <c r="C212" s="2">
        <v>98.41</v>
      </c>
      <c r="D212" s="5">
        <v>3301.0790000000002</v>
      </c>
      <c r="E212" s="4">
        <f>VLOOKUP($A212,monthly!$A$1:$E$721,4,FALSE)</f>
        <v>21.603333333333335</v>
      </c>
      <c r="F212" s="4">
        <f>VLOOKUP($A212,monthly!$A$1:$E$721,5,FALSE)</f>
        <v>0.39666666666666667</v>
      </c>
    </row>
    <row r="213" spans="1:6" ht="15" x14ac:dyDescent="0.25">
      <c r="A213" s="1" t="s">
        <v>212</v>
      </c>
      <c r="B213" s="2">
        <v>19304.351999999999</v>
      </c>
      <c r="C213" s="2">
        <v>98.885999999999996</v>
      </c>
      <c r="D213" s="5">
        <v>3391.7489999999998</v>
      </c>
      <c r="E213" s="4">
        <f>VLOOKUP($A213,monthly!$A$1:$E$721,4,FALSE)</f>
        <v>21.72666666666667</v>
      </c>
      <c r="F213" s="4">
        <f>VLOOKUP($A213,monthly!$A$1:$E$721,5,FALSE)</f>
        <v>0.45</v>
      </c>
    </row>
    <row r="214" spans="1:6" ht="15" x14ac:dyDescent="0.25">
      <c r="A214" s="1" t="s">
        <v>213</v>
      </c>
      <c r="B214" s="2">
        <v>19398.343000000001</v>
      </c>
      <c r="C214" s="2">
        <v>99.39</v>
      </c>
      <c r="D214" s="5">
        <v>3382.703</v>
      </c>
      <c r="E214" s="4">
        <f>VLOOKUP($A214,monthly!$A$1:$E$721,4,FALSE)</f>
        <v>21.843333333333334</v>
      </c>
      <c r="F214" s="4">
        <f>VLOOKUP($A214,monthly!$A$1:$E$721,5,FALSE)</f>
        <v>0.70000000000000007</v>
      </c>
    </row>
    <row r="215" spans="1:6" ht="15" x14ac:dyDescent="0.25">
      <c r="A215" s="1" t="s">
        <v>214</v>
      </c>
      <c r="B215" s="2">
        <v>19506.949000000001</v>
      </c>
      <c r="C215" s="2">
        <v>99.65</v>
      </c>
      <c r="D215" s="5">
        <v>3435.9290000000001</v>
      </c>
      <c r="E215" s="4">
        <f>VLOOKUP($A215,monthly!$A$1:$E$721,4,FALSE)</f>
        <v>21.973333333333333</v>
      </c>
      <c r="F215" s="4">
        <f>VLOOKUP($A215,monthly!$A$1:$E$721,5,FALSE)</f>
        <v>0.95000000000000007</v>
      </c>
    </row>
    <row r="216" spans="1:6" ht="15" x14ac:dyDescent="0.25">
      <c r="A216" s="1" t="s">
        <v>215</v>
      </c>
      <c r="B216" s="2">
        <v>19660.766</v>
      </c>
      <c r="C216" s="2">
        <v>100.16200000000001</v>
      </c>
      <c r="D216" s="5">
        <v>3493.1660000000002</v>
      </c>
      <c r="E216" s="4">
        <f>VLOOKUP($A216,monthly!$A$1:$E$721,4,FALSE)</f>
        <v>22.123333333333335</v>
      </c>
      <c r="F216" s="4">
        <f>VLOOKUP($A216,monthly!$A$1:$E$721,5,FALSE)</f>
        <v>1.1533333333333331</v>
      </c>
    </row>
    <row r="217" spans="1:6" ht="15" x14ac:dyDescent="0.25">
      <c r="A217" s="1" t="s">
        <v>216</v>
      </c>
      <c r="B217" s="2">
        <v>19882.351999999999</v>
      </c>
      <c r="C217" s="2">
        <v>100.77800000000001</v>
      </c>
      <c r="D217" s="5">
        <v>3558.8589999999999</v>
      </c>
      <c r="E217" s="4">
        <f>VLOOKUP($A217,monthly!$A$1:$E$721,4,FALSE)</f>
        <v>22.233333333333334</v>
      </c>
      <c r="F217" s="4">
        <f>VLOOKUP($A217,monthly!$A$1:$E$721,5,FALSE)</f>
        <v>1.2033333333333331</v>
      </c>
    </row>
    <row r="218" spans="1:6" ht="15" x14ac:dyDescent="0.25">
      <c r="A218" s="1" t="s">
        <v>217</v>
      </c>
      <c r="B218" s="2">
        <v>20044.077000000001</v>
      </c>
      <c r="C218" s="2">
        <v>101.419</v>
      </c>
      <c r="D218" s="5">
        <v>3612.9360000000001</v>
      </c>
      <c r="E218" s="4">
        <f>VLOOKUP($A218,monthly!$A$1:$E$721,4,FALSE)</f>
        <v>22.433333333333334</v>
      </c>
      <c r="F218" s="4">
        <f>VLOOKUP($A218,monthly!$A$1:$E$721,5,FALSE)</f>
        <v>1.4466666666666665</v>
      </c>
    </row>
    <row r="219" spans="1:6" ht="15" x14ac:dyDescent="0.25">
      <c r="A219" s="1" t="s">
        <v>218</v>
      </c>
      <c r="B219" s="2">
        <v>20150.475999999999</v>
      </c>
      <c r="C219" s="2">
        <v>102.136</v>
      </c>
      <c r="D219" s="5">
        <v>3612.3890000000001</v>
      </c>
      <c r="E219" s="4">
        <f>VLOOKUP($A219,monthly!$A$1:$E$721,4,FALSE)</f>
        <v>22.596666666666664</v>
      </c>
      <c r="F219" s="4">
        <f>VLOOKUP($A219,monthly!$A$1:$E$721,5,FALSE)</f>
        <v>1.7366666666666666</v>
      </c>
    </row>
    <row r="220" spans="1:6" ht="15" x14ac:dyDescent="0.25">
      <c r="A220" s="1" t="s">
        <v>219</v>
      </c>
      <c r="B220" s="2">
        <v>20276.153999999999</v>
      </c>
      <c r="C220" s="2">
        <v>102.577</v>
      </c>
      <c r="D220" s="5">
        <v>3722.248</v>
      </c>
      <c r="E220" s="4">
        <f>VLOOKUP($A220,monthly!$A$1:$E$721,4,FALSE)</f>
        <v>22.77</v>
      </c>
      <c r="F220" s="4">
        <f>VLOOKUP($A220,monthly!$A$1:$E$721,5,FALSE)</f>
        <v>1.9233333333333331</v>
      </c>
    </row>
    <row r="221" spans="1:6" ht="15" x14ac:dyDescent="0.25">
      <c r="A221" s="1" t="s">
        <v>220</v>
      </c>
      <c r="B221" s="2">
        <v>20304.874</v>
      </c>
      <c r="C221" s="2">
        <v>103.01900000000001</v>
      </c>
      <c r="D221" s="5">
        <v>3724.752</v>
      </c>
      <c r="E221" s="4">
        <f>VLOOKUP($A221,monthly!$A$1:$E$721,4,FALSE)</f>
        <v>23.00333333333333</v>
      </c>
      <c r="F221" s="4">
        <f>VLOOKUP($A221,monthly!$A$1:$E$721,5,FALSE)</f>
        <v>2.2200000000000002</v>
      </c>
    </row>
    <row r="222" spans="1:6" ht="15" x14ac:dyDescent="0.25">
      <c r="A222" s="1" t="s">
        <v>221</v>
      </c>
      <c r="B222" s="2">
        <v>20415.150000000001</v>
      </c>
      <c r="C222" s="2">
        <v>103.375</v>
      </c>
      <c r="D222" s="5">
        <v>3751.76</v>
      </c>
      <c r="E222" s="4">
        <f>VLOOKUP($A222,monthly!$A$1:$E$721,4,FALSE)</f>
        <v>23.226666666666663</v>
      </c>
      <c r="F222" s="4">
        <f>VLOOKUP($A222,monthly!$A$1:$E$721,5,FALSE)</f>
        <v>2.4033333333333333</v>
      </c>
    </row>
    <row r="223" spans="1:6" ht="15" x14ac:dyDescent="0.25">
      <c r="A223" s="1" t="s">
        <v>222</v>
      </c>
      <c r="B223" s="2">
        <v>20584.527999999998</v>
      </c>
      <c r="C223" s="2">
        <v>103.88800000000001</v>
      </c>
      <c r="D223" s="5">
        <v>3778.2109999999998</v>
      </c>
      <c r="E223" s="4">
        <f>VLOOKUP($A223,monthly!$A$1:$E$721,4,FALSE)</f>
        <v>23.39</v>
      </c>
      <c r="F223" s="4">
        <f>VLOOKUP($A223,monthly!$A$1:$E$721,5,FALSE)</f>
        <v>2.3966666666666669</v>
      </c>
    </row>
    <row r="224" spans="1:6" ht="15" x14ac:dyDescent="0.25">
      <c r="A224" s="1" t="s">
        <v>223</v>
      </c>
      <c r="B224" s="2">
        <v>20817.580999999998</v>
      </c>
      <c r="C224" s="2">
        <v>104.211</v>
      </c>
      <c r="D224" s="5">
        <v>3818.1080000000002</v>
      </c>
      <c r="E224" s="4">
        <f>VLOOKUP($A224,monthly!$A$1:$E$721,4,FALSE)</f>
        <v>23.606666666666669</v>
      </c>
      <c r="F224" s="4">
        <f>VLOOKUP($A224,monthly!$A$1:$E$721,5,FALSE)</f>
        <v>2.19</v>
      </c>
    </row>
    <row r="225" spans="1:6" ht="15" x14ac:dyDescent="0.25">
      <c r="A225" s="1" t="s">
        <v>224</v>
      </c>
      <c r="B225" s="2">
        <v>20951.088</v>
      </c>
      <c r="C225" s="2">
        <v>104.541</v>
      </c>
      <c r="D225" s="5">
        <v>3773.2359999999999</v>
      </c>
      <c r="E225" s="4">
        <f>VLOOKUP($A225,monthly!$A$1:$E$721,4,FALSE)</f>
        <v>23.806666666666668</v>
      </c>
      <c r="F225" s="4">
        <f>VLOOKUP($A225,monthly!$A$1:$E$721,5,FALSE)</f>
        <v>1.6433333333333333</v>
      </c>
    </row>
    <row r="226" spans="1:6" ht="15" x14ac:dyDescent="0.25">
      <c r="A226" s="1" t="s">
        <v>225</v>
      </c>
      <c r="B226" s="2">
        <v>20665.553</v>
      </c>
      <c r="C226" s="2">
        <v>105.03700000000001</v>
      </c>
      <c r="D226" s="5">
        <v>3676.5740000000001</v>
      </c>
      <c r="E226" s="4">
        <f>VLOOKUP($A226,monthly!$A$1:$E$721,4,FALSE)</f>
        <v>24.046666666666667</v>
      </c>
      <c r="F226" s="4">
        <f>VLOOKUP($A226,monthly!$A$1:$E$721,5,FALSE)</f>
        <v>1.26</v>
      </c>
    </row>
    <row r="227" spans="1:6" ht="15" x14ac:dyDescent="0.25">
      <c r="A227" s="1" t="s">
        <v>226</v>
      </c>
      <c r="B227" s="2">
        <v>19034.830000000002</v>
      </c>
      <c r="C227" s="2">
        <v>104.614</v>
      </c>
      <c r="D227" s="5">
        <v>3145.2280000000001</v>
      </c>
      <c r="E227" s="4">
        <f>VLOOKUP($A227,monthly!$A$1:$E$721,4,FALSE)</f>
        <v>24.966666666666669</v>
      </c>
      <c r="F227" s="4">
        <f>VLOOKUP($A227,monthly!$A$1:$E$721,5,FALSE)</f>
        <v>0.06</v>
      </c>
    </row>
    <row r="228" spans="1:6" ht="15" x14ac:dyDescent="0.25">
      <c r="A228" s="1" t="s">
        <v>227</v>
      </c>
      <c r="B228" s="2">
        <v>20511.785</v>
      </c>
      <c r="C228" s="2">
        <v>105.538</v>
      </c>
      <c r="D228" s="5">
        <v>3735.0909999999999</v>
      </c>
      <c r="E228" s="4">
        <f>VLOOKUP($A228,monthly!$A$1:$E$721,4,FALSE)</f>
        <v>24.76</v>
      </c>
      <c r="F228" s="4">
        <f>VLOOKUP($A228,monthly!$A$1:$E$721,5,FALSE)</f>
        <v>9.3333333333333338E-2</v>
      </c>
    </row>
    <row r="229" spans="1:6" ht="15" x14ac:dyDescent="0.25">
      <c r="A229" s="1" t="s">
        <v>228</v>
      </c>
      <c r="B229" s="2">
        <v>20724.128000000001</v>
      </c>
      <c r="C229" s="2">
        <v>106.27500000000001</v>
      </c>
      <c r="D229" s="5">
        <v>3853.0929999999998</v>
      </c>
      <c r="E229" s="4">
        <f>VLOOKUP($A229,monthly!$A$1:$E$721,4,FALSE)</f>
        <v>24.98</v>
      </c>
      <c r="F229" s="4">
        <f>VLOOKUP($A229,monthly!$A$1:$E$721,5,FALSE)</f>
        <v>9.0000000000000011E-2</v>
      </c>
    </row>
    <row r="230" spans="1:6" ht="15" x14ac:dyDescent="0.25">
      <c r="A230" s="1" t="s">
        <v>229</v>
      </c>
      <c r="B230" s="2">
        <v>20990.541000000001</v>
      </c>
      <c r="C230" s="2">
        <v>107.66800000000001</v>
      </c>
      <c r="D230" s="5">
        <v>3820.4169999999999</v>
      </c>
      <c r="E230" s="4">
        <f>VLOOKUP($A230,monthly!$A$1:$E$721,4,FALSE)</f>
        <v>25.26</v>
      </c>
      <c r="F230" s="4">
        <f>VLOOKUP($A230,monthly!$A$1:$E$721,5,FALSE)</f>
        <v>0.08</v>
      </c>
    </row>
    <row r="231" spans="1:6" ht="15" x14ac:dyDescent="0.25">
      <c r="A231" s="1" t="s">
        <v>230</v>
      </c>
      <c r="B231" s="2">
        <v>21309.544000000002</v>
      </c>
      <c r="C231" s="2">
        <v>109.30500000000001</v>
      </c>
      <c r="D231" s="5">
        <v>3767.3409999999999</v>
      </c>
      <c r="E231" s="4">
        <f>VLOOKUP($A231,monthly!$A$1:$E$721,4,FALSE)</f>
        <v>25.663333333333338</v>
      </c>
      <c r="F231" s="4">
        <f>VLOOKUP($A231,monthly!$A$1:$E$721,5,FALSE)</f>
        <v>7.0000000000000007E-2</v>
      </c>
    </row>
    <row r="232" spans="1:6" ht="15" x14ac:dyDescent="0.25">
      <c r="A232" s="1" t="s">
        <v>231</v>
      </c>
      <c r="B232" s="2">
        <v>21483.082999999999</v>
      </c>
      <c r="C232" s="2">
        <v>110.92</v>
      </c>
      <c r="D232" s="5">
        <v>3910.8290000000002</v>
      </c>
      <c r="E232" s="4">
        <f>VLOOKUP($A232,monthly!$A$1:$E$721,4,FALSE)</f>
        <v>26.116666666666664</v>
      </c>
      <c r="F232" s="4">
        <f>VLOOKUP($A232,monthly!$A$1:$E$721,5,FALSE)</f>
        <v>9.0000000000000011E-2</v>
      </c>
    </row>
    <row r="233" spans="1:6" ht="15" x14ac:dyDescent="0.25">
      <c r="A233" s="1" t="s">
        <v>232</v>
      </c>
      <c r="B233" s="2">
        <v>21847.601999999999</v>
      </c>
      <c r="C233" s="2">
        <v>112.848</v>
      </c>
      <c r="D233" s="5">
        <v>4159.1270000000004</v>
      </c>
      <c r="E233" s="4">
        <f>VLOOKUP($A233,monthly!$A$1:$E$721,4,FALSE)</f>
        <v>26.590000000000003</v>
      </c>
      <c r="F233" s="4">
        <f>VLOOKUP($A233,monthly!$A$1:$E$721,5,FALSE)</f>
        <v>0.08</v>
      </c>
    </row>
    <row r="234" spans="1:6" ht="15" x14ac:dyDescent="0.25">
      <c r="A234" s="1" t="s">
        <v>233</v>
      </c>
      <c r="B234" s="2">
        <v>21738.870999999999</v>
      </c>
      <c r="C234" s="2">
        <v>115.13500000000001</v>
      </c>
      <c r="D234" s="5">
        <v>4222.4489999999996</v>
      </c>
      <c r="E234" s="4">
        <f>VLOOKUP($A234,monthly!$A$1:$E$721,4,FALSE)</f>
        <v>26.993333333333336</v>
      </c>
      <c r="F234" s="4">
        <f>VLOOKUP($A234,monthly!$A$1:$E$721,5,FALSE)</f>
        <v>0.12</v>
      </c>
    </row>
    <row r="235" spans="1:6" ht="15" x14ac:dyDescent="0.25">
      <c r="A235" s="1" t="s">
        <v>234</v>
      </c>
      <c r="B235" s="2">
        <v>21708.16</v>
      </c>
      <c r="C235" s="2">
        <v>117.67100000000001</v>
      </c>
      <c r="D235" s="5">
        <v>4105.54</v>
      </c>
      <c r="E235" s="4">
        <f>VLOOKUP($A235,monthly!$A$1:$E$721,4,FALSE)</f>
        <v>27.396666666666665</v>
      </c>
      <c r="F235" s="4">
        <f>VLOOKUP($A235,monthly!$A$1:$E$721,5,FALSE)</f>
        <v>0.77</v>
      </c>
    </row>
    <row r="236" spans="1:6" ht="15" x14ac:dyDescent="0.25">
      <c r="A236" s="1" t="s">
        <v>235</v>
      </c>
      <c r="B236" s="2">
        <v>21851.133999999998</v>
      </c>
      <c r="C236" s="2">
        <v>118.962</v>
      </c>
      <c r="D236" s="5">
        <v>4024.75</v>
      </c>
      <c r="E236" s="4">
        <f>VLOOKUP($A236,monthly!$A$1:$E$721,4,FALSE)</f>
        <v>27.74666666666667</v>
      </c>
      <c r="F236" s="4">
        <f>VLOOKUP($A236,monthly!$A$1:$E$721,5,FALSE)</f>
        <v>2.19</v>
      </c>
    </row>
    <row r="237" spans="1:6" ht="15" x14ac:dyDescent="0.25">
      <c r="A237" s="1" t="s">
        <v>236</v>
      </c>
      <c r="B237" s="2">
        <v>21989.981</v>
      </c>
      <c r="C237" s="2">
        <v>120.093</v>
      </c>
      <c r="D237" s="5">
        <v>4058.491</v>
      </c>
      <c r="E237" s="4">
        <f>VLOOKUP($A237,monthly!$A$1:$E$721,4,FALSE)</f>
        <v>28.086666666666662</v>
      </c>
      <c r="F237" s="4">
        <f>VLOOKUP($A237,monthly!$A$1:$E$721,5,FALSE)</f>
        <v>3.6533333333333329</v>
      </c>
    </row>
    <row r="238" spans="1:6" ht="15" x14ac:dyDescent="0.25">
      <c r="A238" s="1" t="s">
        <v>237</v>
      </c>
      <c r="B238" s="2">
        <v>22112.329000000002</v>
      </c>
      <c r="C238" s="2">
        <v>121.261</v>
      </c>
      <c r="D238" s="5">
        <v>3963.6889999999999</v>
      </c>
      <c r="E238" s="4">
        <f>VLOOKUP($A238,monthly!$A$1:$E$721,4,FALSE)</f>
        <v>28.406666666666666</v>
      </c>
      <c r="F238" s="4">
        <f>VLOOKUP($A238,monthly!$A$1:$E$721,5,FALSE)</f>
        <v>4.5166666666666666</v>
      </c>
    </row>
    <row r="239" spans="1:6" ht="15" x14ac:dyDescent="0.25">
      <c r="A239" s="1" t="s">
        <v>238</v>
      </c>
      <c r="B239" s="2">
        <v>22225.35</v>
      </c>
      <c r="C239" s="2">
        <v>121.76600000000001</v>
      </c>
      <c r="D239" s="5">
        <v>4014.1210000000001</v>
      </c>
      <c r="E239" s="4">
        <f>VLOOKUP($A239,monthly!$A$1:$E$721,4,FALSE)</f>
        <v>28.716666666666669</v>
      </c>
      <c r="F239" s="4">
        <f>VLOOKUP($A239,monthly!$A$1:$E$721,5,FALSE)</f>
        <v>4.99</v>
      </c>
    </row>
    <row r="240" spans="1:6" ht="15" x14ac:dyDescent="0.25">
      <c r="A240" s="1" t="s">
        <v>239</v>
      </c>
      <c r="B240" s="2">
        <v>22490.691999999999</v>
      </c>
      <c r="C240" s="2">
        <v>122.762</v>
      </c>
      <c r="D240" s="5">
        <v>4111.0529999999999</v>
      </c>
      <c r="E240" s="4">
        <f>VLOOKUP($A240,monthly!$A$1:$E$721,4,FALSE)</f>
        <v>29.006666666666664</v>
      </c>
      <c r="F240" s="4">
        <f>VLOOKUP($A240,monthly!$A$1:$E$721,5,FALSE)</f>
        <v>5.26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10C1DD-7B7F-4601-B3F0-DAB08789AE2E}">
  <dimension ref="A1:E721"/>
  <sheetViews>
    <sheetView workbookViewId="0">
      <selection activeCell="B5" sqref="B5:B7"/>
    </sheetView>
  </sheetViews>
  <sheetFormatPr baseColWidth="10" defaultRowHeight="14.25" x14ac:dyDescent="0.25"/>
  <cols>
    <col min="1" max="1" width="16.7109375" bestFit="1" customWidth="1"/>
    <col min="2" max="2" width="16.42578125" bestFit="1" customWidth="1"/>
    <col min="4" max="4" width="14.85546875" bestFit="1" customWidth="1"/>
    <col min="5" max="5" width="18.42578125" bestFit="1" customWidth="1"/>
  </cols>
  <sheetData>
    <row r="1" spans="1:5" ht="15" x14ac:dyDescent="0.25">
      <c r="A1" s="9" t="s">
        <v>0</v>
      </c>
      <c r="B1" s="9" t="s">
        <v>725</v>
      </c>
      <c r="C1" s="11" t="s">
        <v>724</v>
      </c>
      <c r="D1" s="11" t="s">
        <v>726</v>
      </c>
      <c r="E1" s="11" t="s">
        <v>727</v>
      </c>
    </row>
    <row r="2" spans="1:5" ht="15" x14ac:dyDescent="0.25">
      <c r="A2" s="7" t="s">
        <v>1</v>
      </c>
      <c r="B2" s="8">
        <v>2.5</v>
      </c>
      <c r="C2" s="10">
        <v>3.48</v>
      </c>
      <c r="D2" s="4">
        <f>AVERAGE(B2:B4)</f>
        <v>2.5033333333333334</v>
      </c>
      <c r="E2" s="4">
        <f>AVERAGE(C2:C4)</f>
        <v>3.4633333333333334</v>
      </c>
    </row>
    <row r="3" spans="1:5" ht="15" x14ac:dyDescent="0.25">
      <c r="A3" s="7" t="s">
        <v>243</v>
      </c>
      <c r="B3" s="8">
        <v>2.5</v>
      </c>
      <c r="C3" s="10">
        <v>3.48</v>
      </c>
      <c r="D3" s="4">
        <f t="shared" ref="D3:E3" si="0">AVERAGE(B3:B5)</f>
        <v>2.5099999999999998</v>
      </c>
      <c r="E3" s="4">
        <f t="shared" si="0"/>
        <v>3.4600000000000004</v>
      </c>
    </row>
    <row r="4" spans="1:5" ht="15" x14ac:dyDescent="0.25">
      <c r="A4" s="7" t="s">
        <v>244</v>
      </c>
      <c r="B4" s="8">
        <v>2.5099999999999998</v>
      </c>
      <c r="C4" s="10">
        <v>3.43</v>
      </c>
      <c r="D4" s="4">
        <f t="shared" ref="D4:E4" si="1">AVERAGE(B4:B6)</f>
        <v>2.5166666666666662</v>
      </c>
      <c r="E4" s="4">
        <f t="shared" si="1"/>
        <v>3.4666666666666668</v>
      </c>
    </row>
    <row r="5" spans="1:5" ht="15" x14ac:dyDescent="0.25">
      <c r="A5" s="7" t="s">
        <v>2</v>
      </c>
      <c r="B5" s="8">
        <v>2.52</v>
      </c>
      <c r="C5" s="10">
        <v>3.47</v>
      </c>
      <c r="D5" s="4">
        <f t="shared" ref="D5:E5" si="2">AVERAGE(B5:B7)</f>
        <v>2.5233333333333334</v>
      </c>
      <c r="E5" s="4">
        <f t="shared" si="2"/>
        <v>3.49</v>
      </c>
    </row>
    <row r="6" spans="1:5" ht="15" x14ac:dyDescent="0.25">
      <c r="A6" s="7" t="s">
        <v>245</v>
      </c>
      <c r="B6" s="8">
        <v>2.52</v>
      </c>
      <c r="C6" s="10">
        <v>3.5</v>
      </c>
      <c r="D6" s="4">
        <f t="shared" ref="D6:E6" si="3">AVERAGE(B6:B8)</f>
        <v>2.5299999999999998</v>
      </c>
      <c r="E6" s="4">
        <f t="shared" si="3"/>
        <v>3.4733333333333332</v>
      </c>
    </row>
    <row r="7" spans="1:5" ht="15" x14ac:dyDescent="0.25">
      <c r="A7" s="7" t="s">
        <v>246</v>
      </c>
      <c r="B7" s="8">
        <v>2.5299999999999998</v>
      </c>
      <c r="C7" s="10">
        <v>3.5</v>
      </c>
      <c r="D7" s="4">
        <f t="shared" ref="D7:E7" si="4">AVERAGE(B7:B9)</f>
        <v>2.54</v>
      </c>
      <c r="E7" s="4">
        <f t="shared" si="4"/>
        <v>3.4733333333333332</v>
      </c>
    </row>
    <row r="8" spans="1:5" ht="15" x14ac:dyDescent="0.25">
      <c r="A8" s="7" t="s">
        <v>3</v>
      </c>
      <c r="B8" s="8">
        <v>2.54</v>
      </c>
      <c r="C8" s="10">
        <v>3.42</v>
      </c>
      <c r="D8" s="4">
        <f t="shared" ref="D8:E8" si="5">AVERAGE(B8:B10)</f>
        <v>2.5500000000000003</v>
      </c>
      <c r="E8" s="4">
        <f t="shared" si="5"/>
        <v>3.456666666666667</v>
      </c>
    </row>
    <row r="9" spans="1:5" ht="15" x14ac:dyDescent="0.25">
      <c r="A9" s="7" t="s">
        <v>247</v>
      </c>
      <c r="B9" s="8">
        <v>2.5499999999999998</v>
      </c>
      <c r="C9" s="10">
        <v>3.5</v>
      </c>
      <c r="D9" s="4">
        <f t="shared" ref="D9:E9" si="6">AVERAGE(B9:B11)</f>
        <v>2.5533333333333332</v>
      </c>
      <c r="E9" s="4">
        <f t="shared" si="6"/>
        <v>3.436666666666667</v>
      </c>
    </row>
    <row r="10" spans="1:5" ht="15" x14ac:dyDescent="0.25">
      <c r="A10" s="7" t="s">
        <v>248</v>
      </c>
      <c r="B10" s="8">
        <v>2.56</v>
      </c>
      <c r="C10" s="10">
        <v>3.45</v>
      </c>
      <c r="D10" s="4">
        <f t="shared" ref="D10:E10" si="7">AVERAGE(B10:B12)</f>
        <v>2.5566666666666666</v>
      </c>
      <c r="E10" s="4">
        <f t="shared" si="7"/>
        <v>3.4433333333333334</v>
      </c>
    </row>
    <row r="11" spans="1:5" ht="15" x14ac:dyDescent="0.25">
      <c r="A11" s="7" t="s">
        <v>4</v>
      </c>
      <c r="B11" s="8">
        <v>2.5499999999999998</v>
      </c>
      <c r="C11" s="10">
        <v>3.36</v>
      </c>
      <c r="D11" s="4">
        <f t="shared" ref="D11:E11" si="8">AVERAGE(B11:B13)</f>
        <v>2.563333333333333</v>
      </c>
      <c r="E11" s="4">
        <f t="shared" si="8"/>
        <v>3.5766666666666667</v>
      </c>
    </row>
    <row r="12" spans="1:5" ht="15" x14ac:dyDescent="0.25">
      <c r="A12" s="7" t="s">
        <v>249</v>
      </c>
      <c r="B12" s="8">
        <v>2.56</v>
      </c>
      <c r="C12" s="10">
        <v>3.52</v>
      </c>
      <c r="D12" s="4">
        <f t="shared" ref="D12:E12" si="9">AVERAGE(B12:B14)</f>
        <v>2.5733333333333337</v>
      </c>
      <c r="E12" s="4">
        <f t="shared" si="9"/>
        <v>3.7566666666666664</v>
      </c>
    </row>
    <row r="13" spans="1:5" ht="15" x14ac:dyDescent="0.25">
      <c r="A13" s="7" t="s">
        <v>250</v>
      </c>
      <c r="B13" s="8">
        <v>2.58</v>
      </c>
      <c r="C13" s="10">
        <v>3.85</v>
      </c>
      <c r="D13" s="4">
        <f t="shared" ref="D13:E13" si="10">AVERAGE(B13:B15)</f>
        <v>2.5833333333333335</v>
      </c>
      <c r="E13" s="4">
        <f t="shared" si="10"/>
        <v>3.91</v>
      </c>
    </row>
    <row r="14" spans="1:5" ht="15" x14ac:dyDescent="0.25">
      <c r="A14" s="7" t="s">
        <v>5</v>
      </c>
      <c r="B14" s="8">
        <v>2.58</v>
      </c>
      <c r="C14" s="10">
        <v>3.9</v>
      </c>
      <c r="D14" s="4">
        <f t="shared" ref="D14:E14" si="11">AVERAGE(B14:B16)</f>
        <v>2.5933333333333333</v>
      </c>
      <c r="E14" s="4">
        <f t="shared" si="11"/>
        <v>3.9766666666666666</v>
      </c>
    </row>
    <row r="15" spans="1:5" ht="15" x14ac:dyDescent="0.25">
      <c r="A15" s="7" t="s">
        <v>251</v>
      </c>
      <c r="B15" s="8">
        <v>2.59</v>
      </c>
      <c r="C15" s="10">
        <v>3.98</v>
      </c>
      <c r="D15" s="4">
        <f t="shared" ref="D15:E15" si="12">AVERAGE(B15:B17)</f>
        <v>2.5999999999999996</v>
      </c>
      <c r="E15" s="4">
        <f t="shared" si="12"/>
        <v>4.04</v>
      </c>
    </row>
    <row r="16" spans="1:5" ht="15" x14ac:dyDescent="0.25">
      <c r="A16" s="7" t="s">
        <v>252</v>
      </c>
      <c r="B16" s="8">
        <v>2.61</v>
      </c>
      <c r="C16" s="10">
        <v>4.05</v>
      </c>
      <c r="D16" s="4">
        <f t="shared" ref="D16:E16" si="13">AVERAGE(B16:B18)</f>
        <v>2.61</v>
      </c>
      <c r="E16" s="4">
        <f t="shared" si="13"/>
        <v>4.08</v>
      </c>
    </row>
    <row r="17" spans="1:5" ht="15" x14ac:dyDescent="0.25">
      <c r="A17" s="7" t="s">
        <v>6</v>
      </c>
      <c r="B17" s="8">
        <v>2.6</v>
      </c>
      <c r="C17" s="10">
        <v>4.09</v>
      </c>
      <c r="D17" s="4">
        <f t="shared" ref="D17:E17" si="14">AVERAGE(B17:B19)</f>
        <v>2.6166666666666667</v>
      </c>
      <c r="E17" s="4">
        <f t="shared" si="14"/>
        <v>4.0799999999999992</v>
      </c>
    </row>
    <row r="18" spans="1:5" ht="15" x14ac:dyDescent="0.25">
      <c r="A18" s="7" t="s">
        <v>253</v>
      </c>
      <c r="B18" s="8">
        <v>2.62</v>
      </c>
      <c r="C18" s="10">
        <v>4.0999999999999996</v>
      </c>
      <c r="D18" s="4">
        <f t="shared" ref="D18:E18" si="15">AVERAGE(B18:B20)</f>
        <v>2.6266666666666665</v>
      </c>
      <c r="E18" s="4">
        <f t="shared" si="15"/>
        <v>4.0799999999999992</v>
      </c>
    </row>
    <row r="19" spans="1:5" ht="15" x14ac:dyDescent="0.25">
      <c r="A19" s="7" t="s">
        <v>254</v>
      </c>
      <c r="B19" s="8">
        <v>2.63</v>
      </c>
      <c r="C19" s="10">
        <v>4.05</v>
      </c>
      <c r="D19" s="4">
        <f t="shared" ref="D19:E19" si="16">AVERAGE(B19:B21)</f>
        <v>2.6333333333333333</v>
      </c>
      <c r="E19" s="4">
        <f t="shared" si="16"/>
        <v>4.0866666666666669</v>
      </c>
    </row>
    <row r="20" spans="1:5" ht="15" x14ac:dyDescent="0.25">
      <c r="A20" s="7" t="s">
        <v>7</v>
      </c>
      <c r="B20" s="8">
        <v>2.63</v>
      </c>
      <c r="C20" s="10">
        <v>4.09</v>
      </c>
      <c r="D20" s="4">
        <f t="shared" ref="D20:E20" si="17">AVERAGE(B20:B22)</f>
        <v>2.64</v>
      </c>
      <c r="E20" s="4">
        <f t="shared" si="17"/>
        <v>4.0766666666666671</v>
      </c>
    </row>
    <row r="21" spans="1:5" ht="15" x14ac:dyDescent="0.25">
      <c r="A21" s="7" t="s">
        <v>255</v>
      </c>
      <c r="B21" s="8">
        <v>2.64</v>
      </c>
      <c r="C21" s="10">
        <v>4.12</v>
      </c>
      <c r="D21" s="4">
        <f t="shared" ref="D21:E21" si="18">AVERAGE(B21:B23)</f>
        <v>2.65</v>
      </c>
      <c r="E21" s="4">
        <f t="shared" si="18"/>
        <v>4.0733333333333333</v>
      </c>
    </row>
    <row r="22" spans="1:5" ht="15" x14ac:dyDescent="0.25">
      <c r="A22" s="7" t="s">
        <v>256</v>
      </c>
      <c r="B22" s="8">
        <v>2.65</v>
      </c>
      <c r="C22" s="10">
        <v>4.0199999999999996</v>
      </c>
      <c r="D22" s="4">
        <f t="shared" ref="D22:E22" si="19">AVERAGE(B22:B24)</f>
        <v>2.66</v>
      </c>
      <c r="E22" s="4">
        <f t="shared" si="19"/>
        <v>4.0666666666666664</v>
      </c>
    </row>
    <row r="23" spans="1:5" ht="15" x14ac:dyDescent="0.25">
      <c r="A23" s="7" t="s">
        <v>8</v>
      </c>
      <c r="B23" s="8">
        <v>2.66</v>
      </c>
      <c r="C23" s="10">
        <v>4.08</v>
      </c>
      <c r="D23" s="4">
        <f t="shared" ref="D23:E23" si="20">AVERAGE(B23:B25)</f>
        <v>2.6666666666666665</v>
      </c>
      <c r="E23" s="4">
        <f t="shared" si="20"/>
        <v>4.166666666666667</v>
      </c>
    </row>
    <row r="24" spans="1:5" ht="15" x14ac:dyDescent="0.25">
      <c r="A24" s="7" t="s">
        <v>257</v>
      </c>
      <c r="B24" s="8">
        <v>2.67</v>
      </c>
      <c r="C24" s="10">
        <v>4.0999999999999996</v>
      </c>
      <c r="D24" s="4">
        <f t="shared" ref="D24:E24" si="21">AVERAGE(B24:B26)</f>
        <v>2.6733333333333333</v>
      </c>
      <c r="E24" s="4">
        <f t="shared" si="21"/>
        <v>4.28</v>
      </c>
    </row>
    <row r="25" spans="1:5" ht="15" x14ac:dyDescent="0.25">
      <c r="A25" s="7" t="s">
        <v>258</v>
      </c>
      <c r="B25" s="8">
        <v>2.67</v>
      </c>
      <c r="C25" s="10">
        <v>4.32</v>
      </c>
      <c r="D25" s="4">
        <f t="shared" ref="D25:E25" si="22">AVERAGE(B25:B27)</f>
        <v>2.6799999999999997</v>
      </c>
      <c r="E25" s="4">
        <f t="shared" si="22"/>
        <v>4.4466666666666663</v>
      </c>
    </row>
    <row r="26" spans="1:5" ht="15" x14ac:dyDescent="0.25">
      <c r="A26" s="7" t="s">
        <v>9</v>
      </c>
      <c r="B26" s="8">
        <v>2.68</v>
      </c>
      <c r="C26" s="10">
        <v>4.42</v>
      </c>
      <c r="D26" s="4">
        <f t="shared" ref="D26:E26" si="23">AVERAGE(B26:B28)</f>
        <v>2.69</v>
      </c>
      <c r="E26" s="4">
        <f t="shared" si="23"/>
        <v>4.5599999999999996</v>
      </c>
    </row>
    <row r="27" spans="1:5" ht="15" x14ac:dyDescent="0.25">
      <c r="A27" s="7" t="s">
        <v>259</v>
      </c>
      <c r="B27" s="8">
        <v>2.69</v>
      </c>
      <c r="C27" s="10">
        <v>4.5999999999999996</v>
      </c>
      <c r="D27" s="4">
        <f t="shared" ref="D27:E27" si="24">AVERAGE(B27:B29)</f>
        <v>2.7000000000000006</v>
      </c>
      <c r="E27" s="4">
        <f t="shared" si="24"/>
        <v>4.6433333333333335</v>
      </c>
    </row>
    <row r="28" spans="1:5" ht="15" x14ac:dyDescent="0.25">
      <c r="A28" s="7" t="s">
        <v>260</v>
      </c>
      <c r="B28" s="8">
        <v>2.7</v>
      </c>
      <c r="C28" s="10">
        <v>4.66</v>
      </c>
      <c r="D28" s="4">
        <f t="shared" ref="D28:E28" si="25">AVERAGE(B28:B30)</f>
        <v>2.7100000000000004</v>
      </c>
      <c r="E28" s="4">
        <f t="shared" si="25"/>
        <v>4.7433333333333332</v>
      </c>
    </row>
    <row r="29" spans="1:5" ht="15" x14ac:dyDescent="0.25">
      <c r="A29" s="7" t="s">
        <v>10</v>
      </c>
      <c r="B29" s="8">
        <v>2.71</v>
      </c>
      <c r="C29" s="10">
        <v>4.67</v>
      </c>
      <c r="D29" s="4">
        <f t="shared" ref="D29:E29" si="26">AVERAGE(B29:B31)</f>
        <v>2.72</v>
      </c>
      <c r="E29" s="4">
        <f t="shared" si="26"/>
        <v>4.9133333333333331</v>
      </c>
    </row>
    <row r="30" spans="1:5" ht="15" x14ac:dyDescent="0.25">
      <c r="A30" s="7" t="s">
        <v>261</v>
      </c>
      <c r="B30" s="8">
        <v>2.72</v>
      </c>
      <c r="C30" s="10">
        <v>4.9000000000000004</v>
      </c>
      <c r="D30" s="4">
        <f t="shared" ref="D30:E30" si="27">AVERAGE(B30:B32)</f>
        <v>2.7300000000000004</v>
      </c>
      <c r="E30" s="4">
        <f t="shared" si="27"/>
        <v>5.123333333333334</v>
      </c>
    </row>
    <row r="31" spans="1:5" ht="15" x14ac:dyDescent="0.25">
      <c r="A31" s="7" t="s">
        <v>262</v>
      </c>
      <c r="B31" s="8">
        <v>2.73</v>
      </c>
      <c r="C31" s="10">
        <v>5.17</v>
      </c>
      <c r="D31" s="4">
        <f t="shared" ref="D31:E31" si="28">AVERAGE(B31:B33)</f>
        <v>2.74</v>
      </c>
      <c r="E31" s="4">
        <f t="shared" si="28"/>
        <v>5.333333333333333</v>
      </c>
    </row>
    <row r="32" spans="1:5" ht="15" x14ac:dyDescent="0.25">
      <c r="A32" s="7" t="s">
        <v>11</v>
      </c>
      <c r="B32" s="8">
        <v>2.74</v>
      </c>
      <c r="C32" s="10">
        <v>5.3</v>
      </c>
      <c r="D32" s="4">
        <f t="shared" ref="D32:E32" si="29">AVERAGE(B32:B34)</f>
        <v>2.75</v>
      </c>
      <c r="E32" s="4">
        <f t="shared" si="29"/>
        <v>5.41</v>
      </c>
    </row>
    <row r="33" spans="1:5" ht="15" x14ac:dyDescent="0.25">
      <c r="A33" s="7" t="s">
        <v>263</v>
      </c>
      <c r="B33" s="8">
        <v>2.75</v>
      </c>
      <c r="C33" s="10">
        <v>5.53</v>
      </c>
      <c r="D33" s="4">
        <f t="shared" ref="D33:E33" si="30">AVERAGE(B33:B35)</f>
        <v>2.76</v>
      </c>
      <c r="E33" s="4">
        <f t="shared" si="30"/>
        <v>5.4866666666666672</v>
      </c>
    </row>
    <row r="34" spans="1:5" ht="15" x14ac:dyDescent="0.25">
      <c r="A34" s="7" t="s">
        <v>264</v>
      </c>
      <c r="B34" s="8">
        <v>2.76</v>
      </c>
      <c r="C34" s="10">
        <v>5.4</v>
      </c>
      <c r="D34" s="4">
        <f t="shared" ref="D34:E34" si="31">AVERAGE(B34:B36)</f>
        <v>2.7699999999999996</v>
      </c>
      <c r="E34" s="4">
        <f t="shared" si="31"/>
        <v>5.5633333333333326</v>
      </c>
    </row>
    <row r="35" spans="1:5" ht="15" x14ac:dyDescent="0.25">
      <c r="A35" s="7" t="s">
        <v>12</v>
      </c>
      <c r="B35" s="8">
        <v>2.77</v>
      </c>
      <c r="C35" s="10">
        <v>5.53</v>
      </c>
      <c r="D35" s="4">
        <f t="shared" ref="D35:E35" si="32">AVERAGE(B35:B37)</f>
        <v>2.7766666666666668</v>
      </c>
      <c r="E35" s="4">
        <f t="shared" si="32"/>
        <v>5.5633333333333326</v>
      </c>
    </row>
    <row r="36" spans="1:5" ht="15" x14ac:dyDescent="0.25">
      <c r="A36" s="7" t="s">
        <v>265</v>
      </c>
      <c r="B36" s="8">
        <v>2.78</v>
      </c>
      <c r="C36" s="10">
        <v>5.76</v>
      </c>
      <c r="D36" s="4">
        <f t="shared" ref="D36:E36" si="33">AVERAGE(B36:B38)</f>
        <v>2.7866666666666666</v>
      </c>
      <c r="E36" s="4">
        <f t="shared" si="33"/>
        <v>5.3666666666666671</v>
      </c>
    </row>
    <row r="37" spans="1:5" ht="15" x14ac:dyDescent="0.25">
      <c r="A37" s="7" t="s">
        <v>266</v>
      </c>
      <c r="B37" s="8">
        <v>2.78</v>
      </c>
      <c r="C37" s="10">
        <v>5.4</v>
      </c>
      <c r="D37" s="4">
        <f t="shared" ref="D37:E37" si="34">AVERAGE(B37:B39)</f>
        <v>2.7966666666666669</v>
      </c>
      <c r="E37" s="4">
        <f t="shared" si="34"/>
        <v>5.1133333333333333</v>
      </c>
    </row>
    <row r="38" spans="1:5" ht="15" x14ac:dyDescent="0.25">
      <c r="A38" s="7" t="s">
        <v>13</v>
      </c>
      <c r="B38" s="8">
        <v>2.8</v>
      </c>
      <c r="C38" s="10">
        <v>4.9400000000000004</v>
      </c>
      <c r="D38" s="4">
        <f t="shared" ref="D38:E38" si="35">AVERAGE(B38:B40)</f>
        <v>2.8066666666666666</v>
      </c>
      <c r="E38" s="4">
        <f t="shared" si="35"/>
        <v>4.8233333333333341</v>
      </c>
    </row>
    <row r="39" spans="1:5" ht="15" x14ac:dyDescent="0.25">
      <c r="A39" s="7" t="s">
        <v>267</v>
      </c>
      <c r="B39" s="8">
        <v>2.81</v>
      </c>
      <c r="C39" s="10">
        <v>5</v>
      </c>
      <c r="D39" s="4">
        <f t="shared" ref="D39:E39" si="36">AVERAGE(B39:B41)</f>
        <v>2.813333333333333</v>
      </c>
      <c r="E39" s="4">
        <f t="shared" si="36"/>
        <v>4.5266666666666673</v>
      </c>
    </row>
    <row r="40" spans="1:5" ht="15" x14ac:dyDescent="0.25">
      <c r="A40" s="7" t="s">
        <v>268</v>
      </c>
      <c r="B40" s="8">
        <v>2.81</v>
      </c>
      <c r="C40" s="10">
        <v>4.53</v>
      </c>
      <c r="D40" s="4">
        <f t="shared" ref="D40:E40" si="37">AVERAGE(B40:B42)</f>
        <v>2.8200000000000003</v>
      </c>
      <c r="E40" s="4">
        <f t="shared" si="37"/>
        <v>4.1733333333333329</v>
      </c>
    </row>
    <row r="41" spans="1:5" ht="15" x14ac:dyDescent="0.25">
      <c r="A41" s="7" t="s">
        <v>14</v>
      </c>
      <c r="B41" s="8">
        <v>2.82</v>
      </c>
      <c r="C41" s="10">
        <v>4.05</v>
      </c>
      <c r="D41" s="4">
        <f t="shared" ref="D41:E41" si="38">AVERAGE(B41:B43)</f>
        <v>2.8333333333333335</v>
      </c>
      <c r="E41" s="4">
        <f t="shared" si="38"/>
        <v>3.99</v>
      </c>
    </row>
    <row r="42" spans="1:5" ht="15" x14ac:dyDescent="0.25">
      <c r="A42" s="7" t="s">
        <v>269</v>
      </c>
      <c r="B42" s="8">
        <v>2.83</v>
      </c>
      <c r="C42" s="10">
        <v>3.94</v>
      </c>
      <c r="D42" s="4">
        <f t="shared" ref="D42:E42" si="39">AVERAGE(B42:B44)</f>
        <v>2.8466666666666662</v>
      </c>
      <c r="E42" s="4">
        <f t="shared" si="39"/>
        <v>3.9033333333333338</v>
      </c>
    </row>
    <row r="43" spans="1:5" ht="15" x14ac:dyDescent="0.25">
      <c r="A43" s="7" t="s">
        <v>270</v>
      </c>
      <c r="B43" s="8">
        <v>2.85</v>
      </c>
      <c r="C43" s="10">
        <v>3.98</v>
      </c>
      <c r="D43" s="4">
        <f t="shared" ref="D43:E43" si="40">AVERAGE(B43:B45)</f>
        <v>2.8633333333333333</v>
      </c>
      <c r="E43" s="4">
        <f t="shared" si="40"/>
        <v>3.89</v>
      </c>
    </row>
    <row r="44" spans="1:5" ht="15" x14ac:dyDescent="0.25">
      <c r="A44" s="7" t="s">
        <v>15</v>
      </c>
      <c r="B44" s="8">
        <v>2.86</v>
      </c>
      <c r="C44" s="10">
        <v>3.79</v>
      </c>
      <c r="D44" s="4">
        <f t="shared" ref="D44:E44" si="41">AVERAGE(B44:B46)</f>
        <v>2.8733333333333335</v>
      </c>
      <c r="E44" s="4">
        <f t="shared" si="41"/>
        <v>3.8933333333333331</v>
      </c>
    </row>
    <row r="45" spans="1:5" ht="15" x14ac:dyDescent="0.25">
      <c r="A45" s="7" t="s">
        <v>271</v>
      </c>
      <c r="B45" s="8">
        <v>2.88</v>
      </c>
      <c r="C45" s="10">
        <v>3.9</v>
      </c>
      <c r="D45" s="4">
        <f t="shared" ref="D45:E45" si="42">AVERAGE(B45:B47)</f>
        <v>2.8833333333333333</v>
      </c>
      <c r="E45" s="4">
        <f t="shared" si="42"/>
        <v>3.9233333333333333</v>
      </c>
    </row>
    <row r="46" spans="1:5" ht="15" x14ac:dyDescent="0.25">
      <c r="A46" s="7" t="s">
        <v>272</v>
      </c>
      <c r="B46" s="8">
        <v>2.88</v>
      </c>
      <c r="C46" s="10">
        <v>3.99</v>
      </c>
      <c r="D46" s="4">
        <f t="shared" ref="D46:E46" si="43">AVERAGE(B46:B48)</f>
        <v>2.8933333333333331</v>
      </c>
      <c r="E46" s="4">
        <f t="shared" si="43"/>
        <v>4</v>
      </c>
    </row>
    <row r="47" spans="1:5" ht="15" x14ac:dyDescent="0.25">
      <c r="A47" s="7" t="s">
        <v>16</v>
      </c>
      <c r="B47" s="8">
        <v>2.89</v>
      </c>
      <c r="C47" s="10">
        <v>3.88</v>
      </c>
      <c r="D47" s="4">
        <f t="shared" ref="D47:E47" si="44">AVERAGE(B47:B49)</f>
        <v>2.9066666666666667</v>
      </c>
      <c r="E47" s="4">
        <f t="shared" si="44"/>
        <v>4.1733333333333329</v>
      </c>
    </row>
    <row r="48" spans="1:5" ht="15" x14ac:dyDescent="0.25">
      <c r="A48" s="7" t="s">
        <v>273</v>
      </c>
      <c r="B48" s="8">
        <v>2.91</v>
      </c>
      <c r="C48" s="10">
        <v>4.13</v>
      </c>
      <c r="D48" s="4">
        <f t="shared" ref="D48:E48" si="45">AVERAGE(B48:B50)</f>
        <v>2.9233333333333333</v>
      </c>
      <c r="E48" s="4">
        <f t="shared" si="45"/>
        <v>4.416666666666667</v>
      </c>
    </row>
    <row r="49" spans="1:5" ht="15" x14ac:dyDescent="0.25">
      <c r="A49" s="7" t="s">
        <v>274</v>
      </c>
      <c r="B49" s="8">
        <v>2.92</v>
      </c>
      <c r="C49" s="10">
        <v>4.51</v>
      </c>
      <c r="D49" s="4">
        <f t="shared" ref="D49:E49" si="46">AVERAGE(B49:B51)</f>
        <v>2.9366666666666661</v>
      </c>
      <c r="E49" s="4">
        <f t="shared" si="46"/>
        <v>4.6100000000000003</v>
      </c>
    </row>
    <row r="50" spans="1:5" ht="15" x14ac:dyDescent="0.25">
      <c r="A50" s="7" t="s">
        <v>17</v>
      </c>
      <c r="B50" s="8">
        <v>2.94</v>
      </c>
      <c r="C50" s="10">
        <v>4.6100000000000003</v>
      </c>
      <c r="D50" s="4">
        <f t="shared" ref="D50:E50" si="47">AVERAGE(B50:B52)</f>
        <v>2.9533333333333336</v>
      </c>
      <c r="E50" s="4">
        <f t="shared" si="47"/>
        <v>4.79</v>
      </c>
    </row>
    <row r="51" spans="1:5" ht="15" x14ac:dyDescent="0.25">
      <c r="A51" s="7" t="s">
        <v>275</v>
      </c>
      <c r="B51" s="8">
        <v>2.95</v>
      </c>
      <c r="C51" s="10">
        <v>4.71</v>
      </c>
      <c r="D51" s="4">
        <f t="shared" ref="D51:E51" si="48">AVERAGE(B51:B53)</f>
        <v>2.97</v>
      </c>
      <c r="E51" s="4">
        <f t="shared" si="48"/>
        <v>5.1733333333333329</v>
      </c>
    </row>
    <row r="52" spans="1:5" ht="15" x14ac:dyDescent="0.25">
      <c r="A52" s="7" t="s">
        <v>276</v>
      </c>
      <c r="B52" s="8">
        <v>2.97</v>
      </c>
      <c r="C52" s="10">
        <v>5.05</v>
      </c>
      <c r="D52" s="4">
        <f t="shared" ref="D52:E52" si="49">AVERAGE(B52:B54)</f>
        <v>2.9866666666666668</v>
      </c>
      <c r="E52" s="4">
        <f t="shared" si="49"/>
        <v>5.6433333333333335</v>
      </c>
    </row>
    <row r="53" spans="1:5" ht="15" x14ac:dyDescent="0.25">
      <c r="A53" s="7" t="s">
        <v>18</v>
      </c>
      <c r="B53" s="8">
        <v>2.99</v>
      </c>
      <c r="C53" s="10">
        <v>5.76</v>
      </c>
      <c r="D53" s="4">
        <f t="shared" ref="D53:E53" si="50">AVERAGE(B53:B55)</f>
        <v>3</v>
      </c>
      <c r="E53" s="4">
        <f t="shared" si="50"/>
        <v>5.9833333333333334</v>
      </c>
    </row>
    <row r="54" spans="1:5" ht="15" x14ac:dyDescent="0.25">
      <c r="A54" s="7" t="s">
        <v>277</v>
      </c>
      <c r="B54" s="8">
        <v>3</v>
      </c>
      <c r="C54" s="10">
        <v>6.12</v>
      </c>
      <c r="D54" s="4">
        <f t="shared" ref="D54:E54" si="51">AVERAGE(B54:B56)</f>
        <v>3.0133333333333332</v>
      </c>
      <c r="E54" s="4">
        <f t="shared" si="51"/>
        <v>6.0733333333333341</v>
      </c>
    </row>
    <row r="55" spans="1:5" ht="15" x14ac:dyDescent="0.25">
      <c r="A55" s="7" t="s">
        <v>278</v>
      </c>
      <c r="B55" s="8">
        <v>3.01</v>
      </c>
      <c r="C55" s="10">
        <v>6.07</v>
      </c>
      <c r="D55" s="4">
        <f t="shared" ref="D55:E55" si="52">AVERAGE(B55:B57)</f>
        <v>3.026666666666666</v>
      </c>
      <c r="E55" s="4">
        <f t="shared" si="52"/>
        <v>6.0433333333333339</v>
      </c>
    </row>
    <row r="56" spans="1:5" ht="15" x14ac:dyDescent="0.25">
      <c r="A56" s="7" t="s">
        <v>19</v>
      </c>
      <c r="B56" s="8">
        <v>3.03</v>
      </c>
      <c r="C56" s="10">
        <v>6.03</v>
      </c>
      <c r="D56" s="4">
        <f t="shared" ref="D56:E56" si="53">AVERAGE(B56:B58)</f>
        <v>3.0466666666666669</v>
      </c>
      <c r="E56" s="4">
        <f t="shared" si="53"/>
        <v>5.9466666666666663</v>
      </c>
    </row>
    <row r="57" spans="1:5" ht="15" x14ac:dyDescent="0.25">
      <c r="A57" s="7" t="s">
        <v>279</v>
      </c>
      <c r="B57" s="8">
        <v>3.04</v>
      </c>
      <c r="C57" s="10">
        <v>6.03</v>
      </c>
      <c r="D57" s="4">
        <f t="shared" ref="D57:E57" si="54">AVERAGE(B57:B59)</f>
        <v>3.063333333333333</v>
      </c>
      <c r="E57" s="4">
        <f t="shared" si="54"/>
        <v>5.9066666666666663</v>
      </c>
    </row>
    <row r="58" spans="1:5" ht="15" x14ac:dyDescent="0.25">
      <c r="A58" s="7" t="s">
        <v>280</v>
      </c>
      <c r="B58" s="8">
        <v>3.07</v>
      </c>
      <c r="C58" s="10">
        <v>5.78</v>
      </c>
      <c r="D58" s="4">
        <f t="shared" ref="D58:E58" si="55">AVERAGE(B58:B60)</f>
        <v>3.0833333333333335</v>
      </c>
      <c r="E58" s="4">
        <f t="shared" si="55"/>
        <v>5.8366666666666669</v>
      </c>
    </row>
    <row r="59" spans="1:5" ht="15" x14ac:dyDescent="0.25">
      <c r="A59" s="7" t="s">
        <v>20</v>
      </c>
      <c r="B59" s="8">
        <v>3.08</v>
      </c>
      <c r="C59" s="10">
        <v>5.91</v>
      </c>
      <c r="D59" s="4">
        <f t="shared" ref="D59:E59" si="56">AVERAGE(B59:B61)</f>
        <v>3.0966666666666662</v>
      </c>
      <c r="E59" s="4">
        <f t="shared" si="56"/>
        <v>5.916666666666667</v>
      </c>
    </row>
    <row r="60" spans="1:5" ht="15" x14ac:dyDescent="0.25">
      <c r="A60" s="7" t="s">
        <v>281</v>
      </c>
      <c r="B60" s="8">
        <v>3.1</v>
      </c>
      <c r="C60" s="10">
        <v>5.82</v>
      </c>
      <c r="D60" s="4">
        <f t="shared" ref="D60:E60" si="57">AVERAGE(B60:B62)</f>
        <v>3.11</v>
      </c>
      <c r="E60" s="4">
        <f t="shared" si="57"/>
        <v>6.0466666666666669</v>
      </c>
    </row>
    <row r="61" spans="1:5" ht="15" x14ac:dyDescent="0.25">
      <c r="A61" s="7" t="s">
        <v>282</v>
      </c>
      <c r="B61" s="8">
        <v>3.11</v>
      </c>
      <c r="C61" s="10">
        <v>6.02</v>
      </c>
      <c r="D61" s="4">
        <f t="shared" ref="D61:E61" si="58">AVERAGE(B61:B63)</f>
        <v>3.1233333333333335</v>
      </c>
      <c r="E61" s="4">
        <f t="shared" si="58"/>
        <v>6.31</v>
      </c>
    </row>
    <row r="62" spans="1:5" ht="15" x14ac:dyDescent="0.25">
      <c r="A62" s="7" t="s">
        <v>21</v>
      </c>
      <c r="B62" s="8">
        <v>3.12</v>
      </c>
      <c r="C62" s="10">
        <v>6.3</v>
      </c>
      <c r="D62" s="4">
        <f t="shared" ref="D62:E62" si="59">AVERAGE(B62:B64)</f>
        <v>3.14</v>
      </c>
      <c r="E62" s="4">
        <f t="shared" si="59"/>
        <v>6.5666666666666664</v>
      </c>
    </row>
    <row r="63" spans="1:5" ht="15" x14ac:dyDescent="0.25">
      <c r="A63" s="7" t="s">
        <v>283</v>
      </c>
      <c r="B63" s="8">
        <v>3.14</v>
      </c>
      <c r="C63" s="10">
        <v>6.61</v>
      </c>
      <c r="D63" s="4">
        <f t="shared" ref="D63:E63" si="60">AVERAGE(B63:B65)</f>
        <v>3.16</v>
      </c>
      <c r="E63" s="4">
        <f t="shared" si="60"/>
        <v>6.9366666666666674</v>
      </c>
    </row>
    <row r="64" spans="1:5" ht="15" x14ac:dyDescent="0.25">
      <c r="A64" s="7" t="s">
        <v>284</v>
      </c>
      <c r="B64" s="8">
        <v>3.16</v>
      </c>
      <c r="C64" s="10">
        <v>6.79</v>
      </c>
      <c r="D64" s="4">
        <f t="shared" ref="D64:E64" si="61">AVERAGE(B64:B66)</f>
        <v>3.1766666666666663</v>
      </c>
      <c r="E64" s="4">
        <f t="shared" si="61"/>
        <v>7.6233333333333322</v>
      </c>
    </row>
    <row r="65" spans="1:5" ht="15" x14ac:dyDescent="0.25">
      <c r="A65" s="7" t="s">
        <v>22</v>
      </c>
      <c r="B65" s="8">
        <v>3.18</v>
      </c>
      <c r="C65" s="10">
        <v>7.41</v>
      </c>
      <c r="D65" s="4">
        <f t="shared" ref="D65:E65" si="62">AVERAGE(B65:B67)</f>
        <v>3.1933333333333334</v>
      </c>
      <c r="E65" s="4">
        <f t="shared" si="62"/>
        <v>8.3266666666666662</v>
      </c>
    </row>
    <row r="66" spans="1:5" ht="15" x14ac:dyDescent="0.25">
      <c r="A66" s="7" t="s">
        <v>285</v>
      </c>
      <c r="B66" s="8">
        <v>3.19</v>
      </c>
      <c r="C66" s="10">
        <v>8.67</v>
      </c>
      <c r="D66" s="4">
        <f t="shared" ref="D66:E66" si="63">AVERAGE(B66:B68)</f>
        <v>3.206666666666667</v>
      </c>
      <c r="E66" s="4">
        <f t="shared" si="63"/>
        <v>8.7266666666666666</v>
      </c>
    </row>
    <row r="67" spans="1:5" ht="15" x14ac:dyDescent="0.25">
      <c r="A67" s="7" t="s">
        <v>286</v>
      </c>
      <c r="B67" s="8">
        <v>3.21</v>
      </c>
      <c r="C67" s="10">
        <v>8.9</v>
      </c>
      <c r="D67" s="4">
        <f t="shared" ref="D67:E67" si="64">AVERAGE(B67:B69)</f>
        <v>3.2233333333333332</v>
      </c>
      <c r="E67" s="4">
        <f t="shared" si="64"/>
        <v>8.8999999999999986</v>
      </c>
    </row>
    <row r="68" spans="1:5" ht="15" x14ac:dyDescent="0.25">
      <c r="A68" s="7" t="s">
        <v>23</v>
      </c>
      <c r="B68" s="8">
        <v>3.22</v>
      </c>
      <c r="C68" s="10">
        <v>8.61</v>
      </c>
      <c r="D68" s="4">
        <f t="shared" ref="D68:E68" si="65">AVERAGE(B68:B70)</f>
        <v>3.24</v>
      </c>
      <c r="E68" s="4">
        <f t="shared" si="65"/>
        <v>8.9833333333333325</v>
      </c>
    </row>
    <row r="69" spans="1:5" ht="15" x14ac:dyDescent="0.25">
      <c r="A69" s="7" t="s">
        <v>287</v>
      </c>
      <c r="B69" s="8">
        <v>3.24</v>
      </c>
      <c r="C69" s="10">
        <v>9.19</v>
      </c>
      <c r="D69" s="4">
        <f t="shared" ref="D69:E69" si="66">AVERAGE(B69:B71)</f>
        <v>3.26</v>
      </c>
      <c r="E69" s="4">
        <f t="shared" si="66"/>
        <v>9.1133333333333333</v>
      </c>
    </row>
    <row r="70" spans="1:5" ht="15" x14ac:dyDescent="0.25">
      <c r="A70" s="7" t="s">
        <v>288</v>
      </c>
      <c r="B70" s="8">
        <v>3.26</v>
      </c>
      <c r="C70" s="10">
        <v>9.15</v>
      </c>
      <c r="D70" s="4">
        <f t="shared" ref="D70:E70" si="67">AVERAGE(B70:B72)</f>
        <v>3.28</v>
      </c>
      <c r="E70" s="4">
        <f t="shared" si="67"/>
        <v>9</v>
      </c>
    </row>
    <row r="71" spans="1:5" ht="15" x14ac:dyDescent="0.25">
      <c r="A71" s="7" t="s">
        <v>24</v>
      </c>
      <c r="B71" s="8">
        <v>3.28</v>
      </c>
      <c r="C71" s="10">
        <v>9</v>
      </c>
      <c r="D71" s="4">
        <f t="shared" ref="D71:E71" si="68">AVERAGE(B71:B73)</f>
        <v>3.2966666666666669</v>
      </c>
      <c r="E71" s="4">
        <f t="shared" si="68"/>
        <v>8.94</v>
      </c>
    </row>
    <row r="72" spans="1:5" ht="15" x14ac:dyDescent="0.25">
      <c r="A72" s="7" t="s">
        <v>289</v>
      </c>
      <c r="B72" s="8">
        <v>3.3</v>
      </c>
      <c r="C72" s="10">
        <v>8.85</v>
      </c>
      <c r="D72" s="4">
        <f t="shared" ref="D72:E72" si="69">AVERAGE(B72:B74)</f>
        <v>3.3066666666666666</v>
      </c>
      <c r="E72" s="4">
        <f t="shared" si="69"/>
        <v>8.9333333333333336</v>
      </c>
    </row>
    <row r="73" spans="1:5" ht="15" x14ac:dyDescent="0.25">
      <c r="A73" s="7" t="s">
        <v>290</v>
      </c>
      <c r="B73" s="8">
        <v>3.31</v>
      </c>
      <c r="C73" s="10">
        <v>8.9700000000000006</v>
      </c>
      <c r="D73" s="4">
        <f t="shared" ref="D73:E73" si="70">AVERAGE(B73:B75)</f>
        <v>3.3166666666666664</v>
      </c>
      <c r="E73" s="4">
        <f t="shared" si="70"/>
        <v>8.9766666666666683</v>
      </c>
    </row>
    <row r="74" spans="1:5" ht="15" x14ac:dyDescent="0.25">
      <c r="A74" s="7" t="s">
        <v>25</v>
      </c>
      <c r="B74" s="8">
        <v>3.31</v>
      </c>
      <c r="C74" s="10">
        <v>8.98</v>
      </c>
      <c r="D74" s="4">
        <f t="shared" ref="D74:E74" si="71">AVERAGE(B74:B76)</f>
        <v>3.3333333333333335</v>
      </c>
      <c r="E74" s="4">
        <f t="shared" si="71"/>
        <v>8.5733333333333324</v>
      </c>
    </row>
    <row r="75" spans="1:5" ht="15" x14ac:dyDescent="0.25">
      <c r="A75" s="7" t="s">
        <v>291</v>
      </c>
      <c r="B75" s="8">
        <v>3.33</v>
      </c>
      <c r="C75" s="10">
        <v>8.98</v>
      </c>
      <c r="D75" s="4">
        <f t="shared" ref="D75:E75" si="72">AVERAGE(B75:B77)</f>
        <v>3.3499999999999996</v>
      </c>
      <c r="E75" s="4">
        <f t="shared" si="72"/>
        <v>8.2800000000000011</v>
      </c>
    </row>
    <row r="76" spans="1:5" ht="15" x14ac:dyDescent="0.25">
      <c r="A76" s="7" t="s">
        <v>292</v>
      </c>
      <c r="B76" s="8">
        <v>3.36</v>
      </c>
      <c r="C76" s="10">
        <v>7.76</v>
      </c>
      <c r="D76" s="4">
        <f t="shared" ref="D76:E76" si="73">AVERAGE(B76:B78)</f>
        <v>3.3633333333333333</v>
      </c>
      <c r="E76" s="4">
        <f t="shared" si="73"/>
        <v>7.9366666666666665</v>
      </c>
    </row>
    <row r="77" spans="1:5" ht="15" x14ac:dyDescent="0.25">
      <c r="A77" s="7" t="s">
        <v>26</v>
      </c>
      <c r="B77" s="8">
        <v>3.36</v>
      </c>
      <c r="C77" s="10">
        <v>8.1</v>
      </c>
      <c r="D77" s="4">
        <f t="shared" ref="D77:E77" si="74">AVERAGE(B77:B79)</f>
        <v>3.3766666666666669</v>
      </c>
      <c r="E77" s="4">
        <f t="shared" si="74"/>
        <v>7.8866666666666667</v>
      </c>
    </row>
    <row r="78" spans="1:5" ht="15" x14ac:dyDescent="0.25">
      <c r="A78" s="7" t="s">
        <v>293</v>
      </c>
      <c r="B78" s="8">
        <v>3.37</v>
      </c>
      <c r="C78" s="10">
        <v>7.95</v>
      </c>
      <c r="D78" s="4">
        <f t="shared" ref="D78:E78" si="75">AVERAGE(B78:B80)</f>
        <v>3.3933333333333331</v>
      </c>
      <c r="E78" s="4">
        <f t="shared" si="75"/>
        <v>7.59</v>
      </c>
    </row>
    <row r="79" spans="1:5" ht="15" x14ac:dyDescent="0.25">
      <c r="A79" s="7" t="s">
        <v>294</v>
      </c>
      <c r="B79" s="8">
        <v>3.4</v>
      </c>
      <c r="C79" s="10">
        <v>7.61</v>
      </c>
      <c r="D79" s="4">
        <f t="shared" ref="D79:E79" si="76">AVERAGE(B79:B81)</f>
        <v>3.4166666666666665</v>
      </c>
      <c r="E79" s="4">
        <f t="shared" si="76"/>
        <v>7.1466666666666674</v>
      </c>
    </row>
    <row r="80" spans="1:5" ht="15" x14ac:dyDescent="0.25">
      <c r="A80" s="7" t="s">
        <v>27</v>
      </c>
      <c r="B80" s="8">
        <v>3.41</v>
      </c>
      <c r="C80" s="10">
        <v>7.21</v>
      </c>
      <c r="D80" s="4">
        <f t="shared" ref="D80:E80" si="77">AVERAGE(B80:B82)</f>
        <v>3.4333333333333336</v>
      </c>
      <c r="E80" s="4">
        <f t="shared" si="77"/>
        <v>6.706666666666667</v>
      </c>
    </row>
    <row r="81" spans="1:5" ht="15" x14ac:dyDescent="0.25">
      <c r="A81" s="7" t="s">
        <v>295</v>
      </c>
      <c r="B81" s="8">
        <v>3.44</v>
      </c>
      <c r="C81" s="10">
        <v>6.62</v>
      </c>
      <c r="D81" s="4">
        <f t="shared" ref="D81:E81" si="78">AVERAGE(B81:B83)</f>
        <v>3.4466666666666668</v>
      </c>
      <c r="E81" s="4">
        <f t="shared" si="78"/>
        <v>6.37</v>
      </c>
    </row>
    <row r="82" spans="1:5" ht="15" x14ac:dyDescent="0.25">
      <c r="A82" s="7" t="s">
        <v>296</v>
      </c>
      <c r="B82" s="8">
        <v>3.45</v>
      </c>
      <c r="C82" s="10">
        <v>6.29</v>
      </c>
      <c r="D82" s="4">
        <f t="shared" ref="D82:E82" si="79">AVERAGE(B82:B84)</f>
        <v>3.456666666666667</v>
      </c>
      <c r="E82" s="4">
        <f t="shared" si="79"/>
        <v>6.03</v>
      </c>
    </row>
    <row r="83" spans="1:5" ht="15" x14ac:dyDescent="0.25">
      <c r="A83" s="7" t="s">
        <v>28</v>
      </c>
      <c r="B83" s="8">
        <v>3.45</v>
      </c>
      <c r="C83" s="10">
        <v>6.2</v>
      </c>
      <c r="D83" s="4">
        <f t="shared" ref="D83:E83" si="80">AVERAGE(B83:B85)</f>
        <v>3.4733333333333332</v>
      </c>
      <c r="E83" s="4">
        <f t="shared" si="80"/>
        <v>5.5666666666666673</v>
      </c>
    </row>
    <row r="84" spans="1:5" ht="15" x14ac:dyDescent="0.25">
      <c r="A84" s="7" t="s">
        <v>297</v>
      </c>
      <c r="B84" s="8">
        <v>3.47</v>
      </c>
      <c r="C84" s="10">
        <v>5.6</v>
      </c>
      <c r="D84" s="4">
        <f t="shared" ref="D84:E84" si="81">AVERAGE(B84:B86)</f>
        <v>3.5</v>
      </c>
      <c r="E84" s="4">
        <f t="shared" si="81"/>
        <v>4.88</v>
      </c>
    </row>
    <row r="85" spans="1:5" ht="15" x14ac:dyDescent="0.25">
      <c r="A85" s="7" t="s">
        <v>298</v>
      </c>
      <c r="B85" s="8">
        <v>3.5</v>
      </c>
      <c r="C85" s="10">
        <v>4.9000000000000004</v>
      </c>
      <c r="D85" s="4">
        <f t="shared" ref="D85:E85" si="82">AVERAGE(B85:B87)</f>
        <v>3.526666666666666</v>
      </c>
      <c r="E85" s="4">
        <f t="shared" si="82"/>
        <v>4.253333333333333</v>
      </c>
    </row>
    <row r="86" spans="1:5" ht="15" x14ac:dyDescent="0.25">
      <c r="A86" s="7" t="s">
        <v>29</v>
      </c>
      <c r="B86" s="8">
        <v>3.53</v>
      </c>
      <c r="C86" s="10">
        <v>4.1399999999999997</v>
      </c>
      <c r="D86" s="4">
        <f t="shared" ref="D86:E86" si="83">AVERAGE(B86:B88)</f>
        <v>3.5466666666666669</v>
      </c>
      <c r="E86" s="4">
        <f t="shared" si="83"/>
        <v>3.8566666666666669</v>
      </c>
    </row>
    <row r="87" spans="1:5" ht="15" x14ac:dyDescent="0.25">
      <c r="A87" s="7" t="s">
        <v>299</v>
      </c>
      <c r="B87" s="8">
        <v>3.55</v>
      </c>
      <c r="C87" s="10">
        <v>3.72</v>
      </c>
      <c r="D87" s="4">
        <f t="shared" ref="D87:E87" si="84">AVERAGE(B87:B89)</f>
        <v>3.563333333333333</v>
      </c>
      <c r="E87" s="4">
        <f t="shared" si="84"/>
        <v>3.8633333333333333</v>
      </c>
    </row>
    <row r="88" spans="1:5" ht="15" x14ac:dyDescent="0.25">
      <c r="A88" s="7" t="s">
        <v>300</v>
      </c>
      <c r="B88" s="8">
        <v>3.56</v>
      </c>
      <c r="C88" s="10">
        <v>3.71</v>
      </c>
      <c r="D88" s="4">
        <f t="shared" ref="D88:E88" si="85">AVERAGE(B88:B90)</f>
        <v>3.5833333333333335</v>
      </c>
      <c r="E88" s="4">
        <f t="shared" si="85"/>
        <v>4.166666666666667</v>
      </c>
    </row>
    <row r="89" spans="1:5" ht="15" x14ac:dyDescent="0.25">
      <c r="A89" s="7" t="s">
        <v>30</v>
      </c>
      <c r="B89" s="8">
        <v>3.58</v>
      </c>
      <c r="C89" s="10">
        <v>4.16</v>
      </c>
      <c r="D89" s="4">
        <f t="shared" ref="D89:E89" si="86">AVERAGE(B89:B91)</f>
        <v>3.6033333333333331</v>
      </c>
      <c r="E89" s="4">
        <f t="shared" si="86"/>
        <v>4.5666666666666664</v>
      </c>
    </row>
    <row r="90" spans="1:5" ht="15" x14ac:dyDescent="0.25">
      <c r="A90" s="7" t="s">
        <v>301</v>
      </c>
      <c r="B90" s="8">
        <v>3.61</v>
      </c>
      <c r="C90" s="10">
        <v>4.63</v>
      </c>
      <c r="D90" s="4">
        <f t="shared" ref="D90:E90" si="87">AVERAGE(B90:B92)</f>
        <v>3.6199999999999997</v>
      </c>
      <c r="E90" s="4">
        <f t="shared" si="87"/>
        <v>4.9499999999999993</v>
      </c>
    </row>
    <row r="91" spans="1:5" ht="15" x14ac:dyDescent="0.25">
      <c r="A91" s="7" t="s">
        <v>302</v>
      </c>
      <c r="B91" s="8">
        <v>3.62</v>
      </c>
      <c r="C91" s="10">
        <v>4.91</v>
      </c>
      <c r="D91" s="4">
        <f t="shared" ref="D91:E91" si="88">AVERAGE(B91:B93)</f>
        <v>3.6366666666666667</v>
      </c>
      <c r="E91" s="4">
        <f t="shared" si="88"/>
        <v>5.2633333333333328</v>
      </c>
    </row>
    <row r="92" spans="1:5" ht="15" x14ac:dyDescent="0.25">
      <c r="A92" s="7" t="s">
        <v>31</v>
      </c>
      <c r="B92" s="8">
        <v>3.63</v>
      </c>
      <c r="C92" s="10">
        <v>5.31</v>
      </c>
      <c r="D92" s="4">
        <f t="shared" ref="D92:E92" si="89">AVERAGE(B92:B94)</f>
        <v>3.6533333333333338</v>
      </c>
      <c r="E92" s="4">
        <f t="shared" si="89"/>
        <v>5.4766666666666666</v>
      </c>
    </row>
    <row r="93" spans="1:5" ht="15" x14ac:dyDescent="0.25">
      <c r="A93" s="7" t="s">
        <v>303</v>
      </c>
      <c r="B93" s="8">
        <v>3.66</v>
      </c>
      <c r="C93" s="10">
        <v>5.57</v>
      </c>
      <c r="D93" s="4">
        <f t="shared" ref="D93:E93" si="90">AVERAGE(B93:B95)</f>
        <v>3.67</v>
      </c>
      <c r="E93" s="4">
        <f t="shared" si="90"/>
        <v>5.44</v>
      </c>
    </row>
    <row r="94" spans="1:5" ht="15" x14ac:dyDescent="0.25">
      <c r="A94" s="7" t="s">
        <v>304</v>
      </c>
      <c r="B94" s="8">
        <v>3.67</v>
      </c>
      <c r="C94" s="10">
        <v>5.55</v>
      </c>
      <c r="D94" s="4">
        <f t="shared" ref="D94:E94" si="91">AVERAGE(B94:B96)</f>
        <v>3.6833333333333336</v>
      </c>
      <c r="E94" s="4">
        <f t="shared" si="91"/>
        <v>5.22</v>
      </c>
    </row>
    <row r="95" spans="1:5" ht="15" x14ac:dyDescent="0.25">
      <c r="A95" s="7" t="s">
        <v>32</v>
      </c>
      <c r="B95" s="8">
        <v>3.68</v>
      </c>
      <c r="C95" s="10">
        <v>5.2</v>
      </c>
      <c r="D95" s="4">
        <f t="shared" ref="D95:E95" si="92">AVERAGE(B95:B97)</f>
        <v>3.7033333333333336</v>
      </c>
      <c r="E95" s="4">
        <f t="shared" si="92"/>
        <v>4.75</v>
      </c>
    </row>
    <row r="96" spans="1:5" ht="15" x14ac:dyDescent="0.25">
      <c r="A96" s="7" t="s">
        <v>305</v>
      </c>
      <c r="B96" s="8">
        <v>3.7</v>
      </c>
      <c r="C96" s="10">
        <v>4.91</v>
      </c>
      <c r="D96" s="4">
        <f t="shared" ref="D96:E96" si="93">AVERAGE(B96:B98)</f>
        <v>3.7433333333333336</v>
      </c>
      <c r="E96" s="4">
        <f t="shared" si="93"/>
        <v>4.1866666666666665</v>
      </c>
    </row>
    <row r="97" spans="1:5" ht="15" x14ac:dyDescent="0.25">
      <c r="A97" s="7" t="s">
        <v>306</v>
      </c>
      <c r="B97" s="8">
        <v>3.73</v>
      </c>
      <c r="C97" s="10">
        <v>4.1399999999999997</v>
      </c>
      <c r="D97" s="4">
        <f t="shared" ref="D97:E97" si="94">AVERAGE(B97:B99)</f>
        <v>3.7833333333333332</v>
      </c>
      <c r="E97" s="4">
        <f t="shared" si="94"/>
        <v>3.65</v>
      </c>
    </row>
    <row r="98" spans="1:5" ht="15" x14ac:dyDescent="0.25">
      <c r="A98" s="7" t="s">
        <v>33</v>
      </c>
      <c r="B98" s="8">
        <v>3.8</v>
      </c>
      <c r="C98" s="10">
        <v>3.51</v>
      </c>
      <c r="D98" s="4">
        <f t="shared" ref="D98:E98" si="95">AVERAGE(B98:B100)</f>
        <v>3.82</v>
      </c>
      <c r="E98" s="4">
        <f t="shared" si="95"/>
        <v>3.5466666666666669</v>
      </c>
    </row>
    <row r="99" spans="1:5" ht="15" x14ac:dyDescent="0.25">
      <c r="A99" s="7" t="s">
        <v>307</v>
      </c>
      <c r="B99" s="8">
        <v>3.82</v>
      </c>
      <c r="C99" s="10">
        <v>3.3</v>
      </c>
      <c r="D99" s="4">
        <f t="shared" ref="D99:E99" si="96">AVERAGE(B99:B101)</f>
        <v>3.84</v>
      </c>
      <c r="E99" s="4">
        <f t="shared" si="96"/>
        <v>3.7666666666666671</v>
      </c>
    </row>
    <row r="100" spans="1:5" ht="15" x14ac:dyDescent="0.25">
      <c r="A100" s="7" t="s">
        <v>308</v>
      </c>
      <c r="B100" s="8">
        <v>3.84</v>
      </c>
      <c r="C100" s="10">
        <v>3.83</v>
      </c>
      <c r="D100" s="4">
        <f t="shared" ref="D100:E100" si="97">AVERAGE(B100:B102)</f>
        <v>3.8599999999999994</v>
      </c>
      <c r="E100" s="4">
        <f t="shared" si="97"/>
        <v>4.09</v>
      </c>
    </row>
    <row r="101" spans="1:5" ht="15" x14ac:dyDescent="0.25">
      <c r="A101" s="7" t="s">
        <v>34</v>
      </c>
      <c r="B101" s="8">
        <v>3.86</v>
      </c>
      <c r="C101" s="10">
        <v>4.17</v>
      </c>
      <c r="D101" s="4">
        <f t="shared" ref="D101:E101" si="98">AVERAGE(B101:B103)</f>
        <v>3.8733333333333335</v>
      </c>
      <c r="E101" s="4">
        <f t="shared" si="98"/>
        <v>4.3</v>
      </c>
    </row>
    <row r="102" spans="1:5" ht="15" x14ac:dyDescent="0.25">
      <c r="A102" s="7" t="s">
        <v>309</v>
      </c>
      <c r="B102" s="8">
        <v>3.88</v>
      </c>
      <c r="C102" s="10">
        <v>4.2699999999999996</v>
      </c>
      <c r="D102" s="4">
        <f t="shared" ref="D102:E102" si="99">AVERAGE(B102:B104)</f>
        <v>3.8866666666666667</v>
      </c>
      <c r="E102" s="4">
        <f t="shared" si="99"/>
        <v>4.4266666666666667</v>
      </c>
    </row>
    <row r="103" spans="1:5" ht="15" x14ac:dyDescent="0.25">
      <c r="A103" s="7" t="s">
        <v>310</v>
      </c>
      <c r="B103" s="8">
        <v>3.88</v>
      </c>
      <c r="C103" s="10">
        <v>4.46</v>
      </c>
      <c r="D103" s="4">
        <f t="shared" ref="D103:E103" si="100">AVERAGE(B103:B105)</f>
        <v>3.9</v>
      </c>
      <c r="E103" s="4">
        <f t="shared" si="100"/>
        <v>4.6066666666666665</v>
      </c>
    </row>
    <row r="104" spans="1:5" ht="15" x14ac:dyDescent="0.25">
      <c r="A104" s="7" t="s">
        <v>35</v>
      </c>
      <c r="B104" s="8">
        <v>3.9</v>
      </c>
      <c r="C104" s="10">
        <v>4.55</v>
      </c>
      <c r="D104" s="4">
        <f t="shared" ref="D104:E104" si="101">AVERAGE(B104:B106)</f>
        <v>3.92</v>
      </c>
      <c r="E104" s="4">
        <f t="shared" si="101"/>
        <v>4.7433333333333332</v>
      </c>
    </row>
    <row r="105" spans="1:5" ht="15" x14ac:dyDescent="0.25">
      <c r="A105" s="7" t="s">
        <v>311</v>
      </c>
      <c r="B105" s="8">
        <v>3.92</v>
      </c>
      <c r="C105" s="10">
        <v>4.8099999999999996</v>
      </c>
      <c r="D105" s="4">
        <f t="shared" ref="D105:E105" si="102">AVERAGE(B105:B107)</f>
        <v>3.9433333333333334</v>
      </c>
      <c r="E105" s="4">
        <f t="shared" si="102"/>
        <v>4.91</v>
      </c>
    </row>
    <row r="106" spans="1:5" ht="15" x14ac:dyDescent="0.25">
      <c r="A106" s="7" t="s">
        <v>312</v>
      </c>
      <c r="B106" s="8">
        <v>3.94</v>
      </c>
      <c r="C106" s="10">
        <v>4.87</v>
      </c>
      <c r="D106" s="4">
        <f t="shared" ref="D106:E106" si="103">AVERAGE(B106:B108)</f>
        <v>3.9666666666666668</v>
      </c>
      <c r="E106" s="4">
        <f t="shared" si="103"/>
        <v>4.9933333333333332</v>
      </c>
    </row>
    <row r="107" spans="1:5" ht="15" x14ac:dyDescent="0.25">
      <c r="A107" s="7" t="s">
        <v>36</v>
      </c>
      <c r="B107" s="8">
        <v>3.97</v>
      </c>
      <c r="C107" s="10">
        <v>5.05</v>
      </c>
      <c r="D107" s="4">
        <f t="shared" ref="D107:E107" si="104">AVERAGE(B107:B109)</f>
        <v>3.9866666666666668</v>
      </c>
      <c r="E107" s="4">
        <f t="shared" si="104"/>
        <v>5.1466666666666665</v>
      </c>
    </row>
    <row r="108" spans="1:5" ht="15" x14ac:dyDescent="0.25">
      <c r="A108" s="7" t="s">
        <v>313</v>
      </c>
      <c r="B108" s="8">
        <v>3.99</v>
      </c>
      <c r="C108" s="10">
        <v>5.0599999999999996</v>
      </c>
      <c r="D108" s="4">
        <f t="shared" ref="D108:E108" si="105">AVERAGE(B108:B110)</f>
        <v>4.0066666666666668</v>
      </c>
      <c r="E108" s="4">
        <f t="shared" si="105"/>
        <v>5.4433333333333342</v>
      </c>
    </row>
    <row r="109" spans="1:5" ht="15" x14ac:dyDescent="0.25">
      <c r="A109" s="7" t="s">
        <v>314</v>
      </c>
      <c r="B109" s="8">
        <v>4</v>
      </c>
      <c r="C109" s="10">
        <v>5.33</v>
      </c>
      <c r="D109" s="4">
        <f t="shared" ref="D109:E109" si="106">AVERAGE(B109:B111)</f>
        <v>4.0266666666666673</v>
      </c>
      <c r="E109" s="4">
        <f t="shared" si="106"/>
        <v>5.95</v>
      </c>
    </row>
    <row r="110" spans="1:5" ht="15" x14ac:dyDescent="0.25">
      <c r="A110" s="7" t="s">
        <v>37</v>
      </c>
      <c r="B110" s="8">
        <v>4.03</v>
      </c>
      <c r="C110" s="10">
        <v>5.94</v>
      </c>
      <c r="D110" s="4">
        <f t="shared" ref="D110:E110" si="107">AVERAGE(B110:B112)</f>
        <v>4.0466666666666669</v>
      </c>
      <c r="E110" s="4">
        <f t="shared" si="107"/>
        <v>6.5366666666666662</v>
      </c>
    </row>
    <row r="111" spans="1:5" ht="15" x14ac:dyDescent="0.25">
      <c r="A111" s="7" t="s">
        <v>315</v>
      </c>
      <c r="B111" s="8">
        <v>4.05</v>
      </c>
      <c r="C111" s="10">
        <v>6.58</v>
      </c>
      <c r="D111" s="4">
        <f t="shared" ref="D111:E111" si="108">AVERAGE(B111:B113)</f>
        <v>4.0666666666666664</v>
      </c>
      <c r="E111" s="4">
        <f t="shared" si="108"/>
        <v>6.93</v>
      </c>
    </row>
    <row r="112" spans="1:5" ht="15" x14ac:dyDescent="0.25">
      <c r="A112" s="7" t="s">
        <v>316</v>
      </c>
      <c r="B112" s="8">
        <v>4.0599999999999996</v>
      </c>
      <c r="C112" s="10">
        <v>7.09</v>
      </c>
      <c r="D112" s="4">
        <f t="shared" ref="D112:E112" si="109">AVERAGE(B112:B114)</f>
        <v>4.083333333333333</v>
      </c>
      <c r="E112" s="4">
        <f t="shared" si="109"/>
        <v>7.3500000000000005</v>
      </c>
    </row>
    <row r="113" spans="1:5" ht="15" x14ac:dyDescent="0.25">
      <c r="A113" s="7" t="s">
        <v>38</v>
      </c>
      <c r="B113" s="8">
        <v>4.09</v>
      </c>
      <c r="C113" s="10">
        <v>7.12</v>
      </c>
      <c r="D113" s="4">
        <f t="shared" ref="D113:E113" si="110">AVERAGE(B113:B115)</f>
        <v>4.1033333333333326</v>
      </c>
      <c r="E113" s="4">
        <f t="shared" si="110"/>
        <v>7.8166666666666673</v>
      </c>
    </row>
    <row r="114" spans="1:5" ht="15" x14ac:dyDescent="0.25">
      <c r="A114" s="7" t="s">
        <v>317</v>
      </c>
      <c r="B114" s="8">
        <v>4.0999999999999996</v>
      </c>
      <c r="C114" s="10">
        <v>7.84</v>
      </c>
      <c r="D114" s="4">
        <f t="shared" ref="D114:E114" si="111">AVERAGE(B114:B116)</f>
        <v>4.1233333333333331</v>
      </c>
      <c r="E114" s="4">
        <f t="shared" si="111"/>
        <v>8.9099999999999984</v>
      </c>
    </row>
    <row r="115" spans="1:5" ht="15" x14ac:dyDescent="0.25">
      <c r="A115" s="7" t="s">
        <v>318</v>
      </c>
      <c r="B115" s="8">
        <v>4.12</v>
      </c>
      <c r="C115" s="10">
        <v>8.49</v>
      </c>
      <c r="D115" s="4">
        <f t="shared" ref="D115:E115" si="112">AVERAGE(B115:B117)</f>
        <v>4.1433333333333335</v>
      </c>
      <c r="E115" s="4">
        <f t="shared" si="112"/>
        <v>9.7966666666666669</v>
      </c>
    </row>
    <row r="116" spans="1:5" ht="15" x14ac:dyDescent="0.25">
      <c r="A116" s="7" t="s">
        <v>39</v>
      </c>
      <c r="B116" s="8">
        <v>4.1500000000000004</v>
      </c>
      <c r="C116" s="10">
        <v>10.4</v>
      </c>
      <c r="D116" s="4">
        <f t="shared" ref="D116:E116" si="113">AVERAGE(B116:B118)</f>
        <v>4.1700000000000008</v>
      </c>
      <c r="E116" s="4">
        <f t="shared" si="113"/>
        <v>10.56</v>
      </c>
    </row>
    <row r="117" spans="1:5" ht="15" x14ac:dyDescent="0.25">
      <c r="A117" s="7" t="s">
        <v>319</v>
      </c>
      <c r="B117" s="8">
        <v>4.16</v>
      </c>
      <c r="C117" s="10">
        <v>10.5</v>
      </c>
      <c r="D117" s="4">
        <f t="shared" ref="D117:E117" si="114">AVERAGE(B117:B119)</f>
        <v>4.1900000000000004</v>
      </c>
      <c r="E117" s="4">
        <f t="shared" si="114"/>
        <v>10.43</v>
      </c>
    </row>
    <row r="118" spans="1:5" ht="15" x14ac:dyDescent="0.25">
      <c r="A118" s="7" t="s">
        <v>320</v>
      </c>
      <c r="B118" s="8">
        <v>4.2</v>
      </c>
      <c r="C118" s="10">
        <v>10.78</v>
      </c>
      <c r="D118" s="4">
        <f t="shared" ref="D118:E118" si="115">AVERAGE(B118:B120)</f>
        <v>4.2166666666666668</v>
      </c>
      <c r="E118" s="4">
        <f t="shared" si="115"/>
        <v>10.273333333333333</v>
      </c>
    </row>
    <row r="119" spans="1:5" ht="15" x14ac:dyDescent="0.25">
      <c r="A119" s="7" t="s">
        <v>40</v>
      </c>
      <c r="B119" s="8">
        <v>4.21</v>
      </c>
      <c r="C119" s="10">
        <v>10.01</v>
      </c>
      <c r="D119" s="4">
        <f t="shared" ref="D119:E119" si="116">AVERAGE(B119:B121)</f>
        <v>4.2333333333333334</v>
      </c>
      <c r="E119" s="4">
        <f t="shared" si="116"/>
        <v>9.9966666666666661</v>
      </c>
    </row>
    <row r="120" spans="1:5" ht="15" x14ac:dyDescent="0.25">
      <c r="A120" s="7" t="s">
        <v>321</v>
      </c>
      <c r="B120" s="8">
        <v>4.24</v>
      </c>
      <c r="C120" s="10">
        <v>10.029999999999999</v>
      </c>
      <c r="D120" s="4">
        <f t="shared" ref="D120:E120" si="117">AVERAGE(B120:B122)</f>
        <v>4.253333333333333</v>
      </c>
      <c r="E120" s="4">
        <f t="shared" si="117"/>
        <v>9.8766666666666652</v>
      </c>
    </row>
    <row r="121" spans="1:5" ht="15" x14ac:dyDescent="0.25">
      <c r="A121" s="7" t="s">
        <v>322</v>
      </c>
      <c r="B121" s="8">
        <v>4.25</v>
      </c>
      <c r="C121" s="10">
        <v>9.9499999999999993</v>
      </c>
      <c r="D121" s="4">
        <f t="shared" ref="D121:E121" si="118">AVERAGE(B121:B123)</f>
        <v>4.2699999999999996</v>
      </c>
      <c r="E121" s="4">
        <f t="shared" si="118"/>
        <v>9.5233333333333334</v>
      </c>
    </row>
    <row r="122" spans="1:5" ht="15" x14ac:dyDescent="0.25">
      <c r="A122" s="7" t="s">
        <v>41</v>
      </c>
      <c r="B122" s="8">
        <v>4.2699999999999996</v>
      </c>
      <c r="C122" s="10">
        <v>9.65</v>
      </c>
      <c r="D122" s="4">
        <f t="shared" ref="D122:E122" si="119">AVERAGE(B122:B124)</f>
        <v>4.293333333333333</v>
      </c>
      <c r="E122" s="4">
        <f t="shared" si="119"/>
        <v>9.3233333333333324</v>
      </c>
    </row>
    <row r="123" spans="1:5" ht="15" x14ac:dyDescent="0.25">
      <c r="A123" s="7" t="s">
        <v>323</v>
      </c>
      <c r="B123" s="8">
        <v>4.29</v>
      </c>
      <c r="C123" s="10">
        <v>8.9700000000000006</v>
      </c>
      <c r="D123" s="4">
        <f t="shared" ref="D123:E123" si="120">AVERAGE(B123:B125)</f>
        <v>4.3133333333333335</v>
      </c>
      <c r="E123" s="4">
        <f t="shared" si="120"/>
        <v>9.61</v>
      </c>
    </row>
    <row r="124" spans="1:5" ht="15" x14ac:dyDescent="0.25">
      <c r="A124" s="7" t="s">
        <v>324</v>
      </c>
      <c r="B124" s="8">
        <v>4.32</v>
      </c>
      <c r="C124" s="10">
        <v>9.35</v>
      </c>
      <c r="D124" s="4">
        <f t="shared" ref="D124:E124" si="121">AVERAGE(B124:B126)</f>
        <v>4.3500000000000005</v>
      </c>
      <c r="E124" s="4">
        <f t="shared" si="121"/>
        <v>10.39</v>
      </c>
    </row>
    <row r="125" spans="1:5" ht="15" x14ac:dyDescent="0.25">
      <c r="A125" s="7" t="s">
        <v>42</v>
      </c>
      <c r="B125" s="8">
        <v>4.33</v>
      </c>
      <c r="C125" s="10">
        <v>10.51</v>
      </c>
      <c r="D125" s="4">
        <f t="shared" ref="D125:E125" si="122">AVERAGE(B125:B127)</f>
        <v>4.3900000000000006</v>
      </c>
      <c r="E125" s="4">
        <f t="shared" si="122"/>
        <v>11.25</v>
      </c>
    </row>
    <row r="126" spans="1:5" ht="15" x14ac:dyDescent="0.25">
      <c r="A126" s="7" t="s">
        <v>325</v>
      </c>
      <c r="B126" s="8">
        <v>4.4000000000000004</v>
      </c>
      <c r="C126" s="10">
        <v>11.31</v>
      </c>
      <c r="D126" s="4">
        <f t="shared" ref="D126:E126" si="123">AVERAGE(B126:B128)</f>
        <v>4.43</v>
      </c>
      <c r="E126" s="4">
        <f t="shared" si="123"/>
        <v>12.053333333333335</v>
      </c>
    </row>
    <row r="127" spans="1:5" ht="15" x14ac:dyDescent="0.25">
      <c r="A127" s="7" t="s">
        <v>326</v>
      </c>
      <c r="B127" s="8">
        <v>4.4400000000000004</v>
      </c>
      <c r="C127" s="10">
        <v>11.93</v>
      </c>
      <c r="D127" s="4">
        <f t="shared" ref="D127:E127" si="124">AVERAGE(B127:B129)</f>
        <v>4.46</v>
      </c>
      <c r="E127" s="4">
        <f t="shared" si="124"/>
        <v>12.286666666666667</v>
      </c>
    </row>
    <row r="128" spans="1:5" ht="15" x14ac:dyDescent="0.25">
      <c r="A128" s="7" t="s">
        <v>43</v>
      </c>
      <c r="B128" s="8">
        <v>4.45</v>
      </c>
      <c r="C128" s="10">
        <v>12.92</v>
      </c>
      <c r="D128" s="4">
        <f t="shared" ref="D128:E128" si="125">AVERAGE(B128:B130)</f>
        <v>4.4900000000000011</v>
      </c>
      <c r="E128" s="4">
        <f t="shared" si="125"/>
        <v>12.089999999999998</v>
      </c>
    </row>
    <row r="129" spans="1:5" ht="15" x14ac:dyDescent="0.25">
      <c r="A129" s="7" t="s">
        <v>327</v>
      </c>
      <c r="B129" s="8">
        <v>4.49</v>
      </c>
      <c r="C129" s="10">
        <v>12.01</v>
      </c>
      <c r="D129" s="4">
        <f t="shared" ref="D129:E129" si="126">AVERAGE(B129:B131)</f>
        <v>4.5266666666666664</v>
      </c>
      <c r="E129" s="4">
        <f t="shared" si="126"/>
        <v>11.136666666666668</v>
      </c>
    </row>
    <row r="130" spans="1:5" ht="15" x14ac:dyDescent="0.25">
      <c r="A130" s="7" t="s">
        <v>328</v>
      </c>
      <c r="B130" s="8">
        <v>4.53</v>
      </c>
      <c r="C130" s="10">
        <v>11.34</v>
      </c>
      <c r="D130" s="4">
        <f t="shared" ref="D130:E130" si="127">AVERAGE(B130:B132)</f>
        <v>4.5533333333333337</v>
      </c>
      <c r="E130" s="4">
        <f t="shared" si="127"/>
        <v>10.283333333333333</v>
      </c>
    </row>
    <row r="131" spans="1:5" ht="15" x14ac:dyDescent="0.25">
      <c r="A131" s="7" t="s">
        <v>44</v>
      </c>
      <c r="B131" s="8">
        <v>4.5599999999999996</v>
      </c>
      <c r="C131" s="10">
        <v>10.06</v>
      </c>
      <c r="D131" s="4">
        <f t="shared" ref="D131:E131" si="128">AVERAGE(B131:B133)</f>
        <v>4.5766666666666662</v>
      </c>
      <c r="E131" s="4">
        <f t="shared" si="128"/>
        <v>9.3466666666666658</v>
      </c>
    </row>
    <row r="132" spans="1:5" ht="15" x14ac:dyDescent="0.25">
      <c r="A132" s="7" t="s">
        <v>329</v>
      </c>
      <c r="B132" s="8">
        <v>4.57</v>
      </c>
      <c r="C132" s="10">
        <v>9.4499999999999993</v>
      </c>
      <c r="D132" s="4">
        <f t="shared" ref="D132:E132" si="129">AVERAGE(B132:B134)</f>
        <v>4.5933333333333337</v>
      </c>
      <c r="E132" s="4">
        <f t="shared" si="129"/>
        <v>8.3699999999999992</v>
      </c>
    </row>
    <row r="133" spans="1:5" ht="15" x14ac:dyDescent="0.25">
      <c r="A133" s="7" t="s">
        <v>330</v>
      </c>
      <c r="B133" s="8">
        <v>4.5999999999999996</v>
      </c>
      <c r="C133" s="10">
        <v>8.5299999999999994</v>
      </c>
      <c r="D133" s="4">
        <f t="shared" ref="D133:E133" si="130">AVERAGE(B133:B135)</f>
        <v>4.6166666666666671</v>
      </c>
      <c r="E133" s="4">
        <f t="shared" si="130"/>
        <v>7.3</v>
      </c>
    </row>
    <row r="134" spans="1:5" ht="15" x14ac:dyDescent="0.25">
      <c r="A134" s="7" t="s">
        <v>45</v>
      </c>
      <c r="B134" s="8">
        <v>4.6100000000000003</v>
      </c>
      <c r="C134" s="10">
        <v>7.13</v>
      </c>
      <c r="D134" s="4">
        <f t="shared" ref="D134:E134" si="131">AVERAGE(B134:B136)</f>
        <v>4.6399999999999997</v>
      </c>
      <c r="E134" s="4">
        <f t="shared" si="131"/>
        <v>6.3033333333333337</v>
      </c>
    </row>
    <row r="135" spans="1:5" ht="15" x14ac:dyDescent="0.25">
      <c r="A135" s="7" t="s">
        <v>331</v>
      </c>
      <c r="B135" s="8">
        <v>4.6399999999999997</v>
      </c>
      <c r="C135" s="10">
        <v>6.24</v>
      </c>
      <c r="D135" s="4">
        <f t="shared" ref="D135:E135" si="132">AVERAGE(B135:B137)</f>
        <v>4.6599999999999993</v>
      </c>
      <c r="E135" s="4">
        <f t="shared" si="132"/>
        <v>5.7566666666666677</v>
      </c>
    </row>
    <row r="136" spans="1:5" ht="15" x14ac:dyDescent="0.25">
      <c r="A136" s="7" t="s">
        <v>332</v>
      </c>
      <c r="B136" s="8">
        <v>4.67</v>
      </c>
      <c r="C136" s="10">
        <v>5.54</v>
      </c>
      <c r="D136" s="4">
        <f t="shared" ref="D136:E136" si="133">AVERAGE(B136:B138)</f>
        <v>4.6766666666666667</v>
      </c>
      <c r="E136" s="4">
        <f t="shared" si="133"/>
        <v>5.416666666666667</v>
      </c>
    </row>
    <row r="137" spans="1:5" ht="15" x14ac:dyDescent="0.25">
      <c r="A137" s="7" t="s">
        <v>46</v>
      </c>
      <c r="B137" s="8">
        <v>4.67</v>
      </c>
      <c r="C137" s="10">
        <v>5.49</v>
      </c>
      <c r="D137" s="4">
        <f t="shared" ref="D137:E137" si="134">AVERAGE(B137:B139)</f>
        <v>4.6933333333333325</v>
      </c>
      <c r="E137" s="4">
        <f t="shared" si="134"/>
        <v>5.4200000000000008</v>
      </c>
    </row>
    <row r="138" spans="1:5" ht="15" x14ac:dyDescent="0.25">
      <c r="A138" s="7" t="s">
        <v>333</v>
      </c>
      <c r="B138" s="8">
        <v>4.6900000000000004</v>
      </c>
      <c r="C138" s="10">
        <v>5.22</v>
      </c>
      <c r="D138" s="4">
        <f t="shared" ref="D138:E138" si="135">AVERAGE(B138:B140)</f>
        <v>4.7166666666666668</v>
      </c>
      <c r="E138" s="4">
        <f t="shared" si="135"/>
        <v>5.6233333333333322</v>
      </c>
    </row>
    <row r="139" spans="1:5" ht="15" x14ac:dyDescent="0.25">
      <c r="A139" s="7" t="s">
        <v>334</v>
      </c>
      <c r="B139" s="8">
        <v>4.72</v>
      </c>
      <c r="C139" s="10">
        <v>5.55</v>
      </c>
      <c r="D139" s="4">
        <f t="shared" ref="D139:E139" si="136">AVERAGE(B139:B141)</f>
        <v>4.746666666666667</v>
      </c>
      <c r="E139" s="4">
        <f t="shared" si="136"/>
        <v>5.93</v>
      </c>
    </row>
    <row r="140" spans="1:5" ht="15" x14ac:dyDescent="0.25">
      <c r="A140" s="7" t="s">
        <v>47</v>
      </c>
      <c r="B140" s="8">
        <v>4.74</v>
      </c>
      <c r="C140" s="10">
        <v>6.1</v>
      </c>
      <c r="D140" s="4">
        <f t="shared" ref="D140:E140" si="137">AVERAGE(B140:B142)</f>
        <v>4.7699999999999996</v>
      </c>
      <c r="E140" s="4">
        <f t="shared" si="137"/>
        <v>6.1599999999999993</v>
      </c>
    </row>
    <row r="141" spans="1:5" ht="15" x14ac:dyDescent="0.25">
      <c r="A141" s="7" t="s">
        <v>335</v>
      </c>
      <c r="B141" s="8">
        <v>4.78</v>
      </c>
      <c r="C141" s="10">
        <v>6.14</v>
      </c>
      <c r="D141" s="4">
        <f t="shared" ref="D141:E141" si="138">AVERAGE(B141:B143)</f>
        <v>4.7966666666666669</v>
      </c>
      <c r="E141" s="4">
        <f t="shared" si="138"/>
        <v>6.0666666666666664</v>
      </c>
    </row>
    <row r="142" spans="1:5" ht="15" x14ac:dyDescent="0.25">
      <c r="A142" s="7" t="s">
        <v>336</v>
      </c>
      <c r="B142" s="8">
        <v>4.79</v>
      </c>
      <c r="C142" s="10">
        <v>6.24</v>
      </c>
      <c r="D142" s="4">
        <f t="shared" ref="D142:E142" si="139">AVERAGE(B142:B144)</f>
        <v>4.8233333333333333</v>
      </c>
      <c r="E142" s="4">
        <f t="shared" si="139"/>
        <v>5.7600000000000007</v>
      </c>
    </row>
    <row r="143" spans="1:5" ht="15" x14ac:dyDescent="0.25">
      <c r="A143" s="7" t="s">
        <v>48</v>
      </c>
      <c r="B143" s="8">
        <v>4.82</v>
      </c>
      <c r="C143" s="10">
        <v>5.82</v>
      </c>
      <c r="D143" s="4">
        <f t="shared" ref="D143:E143" si="140">AVERAGE(B143:B145)</f>
        <v>4.8500000000000005</v>
      </c>
      <c r="E143" s="4">
        <f t="shared" si="140"/>
        <v>5.4133333333333331</v>
      </c>
    </row>
    <row r="144" spans="1:5" ht="15" x14ac:dyDescent="0.25">
      <c r="A144" s="7" t="s">
        <v>337</v>
      </c>
      <c r="B144" s="8">
        <v>4.8600000000000003</v>
      </c>
      <c r="C144" s="10">
        <v>5.22</v>
      </c>
      <c r="D144" s="4">
        <f t="shared" ref="D144:E144" si="141">AVERAGE(B144:B146)</f>
        <v>4.8766666666666669</v>
      </c>
      <c r="E144" s="4">
        <f t="shared" si="141"/>
        <v>5.0966666666666667</v>
      </c>
    </row>
    <row r="145" spans="1:5" ht="15" x14ac:dyDescent="0.25">
      <c r="A145" s="7" t="s">
        <v>338</v>
      </c>
      <c r="B145" s="8">
        <v>4.87</v>
      </c>
      <c r="C145" s="10">
        <v>5.2</v>
      </c>
      <c r="D145" s="4">
        <f t="shared" ref="D145:E145" si="142">AVERAGE(B145:B147)</f>
        <v>4.8999999999999995</v>
      </c>
      <c r="E145" s="4">
        <f t="shared" si="142"/>
        <v>4.9466666666666663</v>
      </c>
    </row>
    <row r="146" spans="1:5" ht="15" x14ac:dyDescent="0.25">
      <c r="A146" s="7" t="s">
        <v>49</v>
      </c>
      <c r="B146" s="8">
        <v>4.9000000000000004</v>
      </c>
      <c r="C146" s="10">
        <v>4.87</v>
      </c>
      <c r="D146" s="4">
        <f t="shared" ref="D146:E146" si="143">AVERAGE(B146:B148)</f>
        <v>4.9266666666666667</v>
      </c>
      <c r="E146" s="4">
        <f t="shared" si="143"/>
        <v>4.8266666666666671</v>
      </c>
    </row>
    <row r="147" spans="1:5" ht="15" x14ac:dyDescent="0.25">
      <c r="A147" s="7" t="s">
        <v>339</v>
      </c>
      <c r="B147" s="8">
        <v>4.93</v>
      </c>
      <c r="C147" s="10">
        <v>4.7699999999999996</v>
      </c>
      <c r="D147" s="4">
        <f t="shared" ref="D147:E147" si="144">AVERAGE(B147:B149)</f>
        <v>4.9533333333333331</v>
      </c>
      <c r="E147" s="4">
        <f t="shared" si="144"/>
        <v>4.8099999999999996</v>
      </c>
    </row>
    <row r="148" spans="1:5" ht="15" x14ac:dyDescent="0.25">
      <c r="A148" s="7" t="s">
        <v>340</v>
      </c>
      <c r="B148" s="8">
        <v>4.95</v>
      </c>
      <c r="C148" s="10">
        <v>4.84</v>
      </c>
      <c r="D148" s="4">
        <f t="shared" ref="D148:E148" si="145">AVERAGE(B148:B150)</f>
        <v>4.9799999999999995</v>
      </c>
      <c r="E148" s="4">
        <f t="shared" si="145"/>
        <v>4.9833333333333334</v>
      </c>
    </row>
    <row r="149" spans="1:5" ht="15" x14ac:dyDescent="0.25">
      <c r="A149" s="7" t="s">
        <v>50</v>
      </c>
      <c r="B149" s="8">
        <v>4.9800000000000004</v>
      </c>
      <c r="C149" s="10">
        <v>4.82</v>
      </c>
      <c r="D149" s="4">
        <f t="shared" ref="D149:E149" si="146">AVERAGE(B149:B151)</f>
        <v>5.0066666666666668</v>
      </c>
      <c r="E149" s="4">
        <f t="shared" si="146"/>
        <v>5.1966666666666663</v>
      </c>
    </row>
    <row r="150" spans="1:5" ht="15" x14ac:dyDescent="0.25">
      <c r="A150" s="7" t="s">
        <v>341</v>
      </c>
      <c r="B150" s="8">
        <v>5.01</v>
      </c>
      <c r="C150" s="10">
        <v>5.29</v>
      </c>
      <c r="D150" s="4">
        <f t="shared" ref="D150:E150" si="147">AVERAGE(B150:B152)</f>
        <v>5.0333333333333323</v>
      </c>
      <c r="E150" s="4">
        <f t="shared" si="147"/>
        <v>5.3599999999999994</v>
      </c>
    </row>
    <row r="151" spans="1:5" ht="15" x14ac:dyDescent="0.25">
      <c r="A151" s="7" t="s">
        <v>342</v>
      </c>
      <c r="B151" s="8">
        <v>5.03</v>
      </c>
      <c r="C151" s="10">
        <v>5.48</v>
      </c>
      <c r="D151" s="4">
        <f t="shared" ref="D151:E151" si="148">AVERAGE(B151:B153)</f>
        <v>5.0666666666666664</v>
      </c>
      <c r="E151" s="4">
        <f t="shared" si="148"/>
        <v>5.3599999999999994</v>
      </c>
    </row>
    <row r="152" spans="1:5" ht="15" x14ac:dyDescent="0.25">
      <c r="A152" s="7" t="s">
        <v>51</v>
      </c>
      <c r="B152" s="8">
        <v>5.0599999999999996</v>
      </c>
      <c r="C152" s="10">
        <v>5.31</v>
      </c>
      <c r="D152" s="4">
        <f t="shared" ref="D152:E152" si="149">AVERAGE(B152:B154)</f>
        <v>5.1033333333333326</v>
      </c>
      <c r="E152" s="4">
        <f t="shared" si="149"/>
        <v>5.2833333333333332</v>
      </c>
    </row>
    <row r="153" spans="1:5" ht="15" x14ac:dyDescent="0.25">
      <c r="A153" s="7" t="s">
        <v>343</v>
      </c>
      <c r="B153" s="8">
        <v>5.1100000000000003</v>
      </c>
      <c r="C153" s="10">
        <v>5.29</v>
      </c>
      <c r="D153" s="4">
        <f t="shared" ref="D153:E153" si="150">AVERAGE(B153:B155)</f>
        <v>5.1366666666666667</v>
      </c>
      <c r="E153" s="4">
        <f t="shared" si="150"/>
        <v>5.1866666666666665</v>
      </c>
    </row>
    <row r="154" spans="1:5" ht="15" x14ac:dyDescent="0.25">
      <c r="A154" s="7" t="s">
        <v>344</v>
      </c>
      <c r="B154" s="8">
        <v>5.14</v>
      </c>
      <c r="C154" s="10">
        <v>5.25</v>
      </c>
      <c r="D154" s="4">
        <f t="shared" ref="D154:E154" si="151">AVERAGE(B154:B156)</f>
        <v>5.1700000000000008</v>
      </c>
      <c r="E154" s="4">
        <f t="shared" si="151"/>
        <v>5.0733333333333333</v>
      </c>
    </row>
    <row r="155" spans="1:5" ht="15" x14ac:dyDescent="0.25">
      <c r="A155" s="7" t="s">
        <v>52</v>
      </c>
      <c r="B155" s="8">
        <v>5.16</v>
      </c>
      <c r="C155" s="10">
        <v>5.0199999999999996</v>
      </c>
      <c r="D155" s="4">
        <f t="shared" ref="D155:E155" si="152">AVERAGE(B155:B157)</f>
        <v>5.2</v>
      </c>
      <c r="E155" s="4">
        <f t="shared" si="152"/>
        <v>4.8733333333333331</v>
      </c>
    </row>
    <row r="156" spans="1:5" ht="15" x14ac:dyDescent="0.25">
      <c r="A156" s="7" t="s">
        <v>345</v>
      </c>
      <c r="B156" s="8">
        <v>5.21</v>
      </c>
      <c r="C156" s="10">
        <v>4.95</v>
      </c>
      <c r="D156" s="4">
        <f t="shared" ref="D156:E156" si="153">AVERAGE(B156:B158)</f>
        <v>5.2333333333333334</v>
      </c>
      <c r="E156" s="4">
        <f t="shared" si="153"/>
        <v>4.7366666666666672</v>
      </c>
    </row>
    <row r="157" spans="1:5" ht="15" x14ac:dyDescent="0.25">
      <c r="A157" s="7" t="s">
        <v>346</v>
      </c>
      <c r="B157" s="8">
        <v>5.23</v>
      </c>
      <c r="C157" s="10">
        <v>4.6500000000000004</v>
      </c>
      <c r="D157" s="4">
        <f t="shared" ref="D157:E157" si="154">AVERAGE(B157:B159)</f>
        <v>5.2633333333333328</v>
      </c>
      <c r="E157" s="4">
        <f t="shared" si="154"/>
        <v>4.6466666666666674</v>
      </c>
    </row>
    <row r="158" spans="1:5" ht="15" x14ac:dyDescent="0.25">
      <c r="A158" s="7" t="s">
        <v>53</v>
      </c>
      <c r="B158" s="8">
        <v>5.26</v>
      </c>
      <c r="C158" s="10">
        <v>4.6100000000000003</v>
      </c>
      <c r="D158" s="4">
        <f t="shared" ref="D158:E158" si="155">AVERAGE(B158:B160)</f>
        <v>5.293333333333333</v>
      </c>
      <c r="E158" s="4">
        <f t="shared" si="155"/>
        <v>4.66</v>
      </c>
    </row>
    <row r="159" spans="1:5" ht="15" x14ac:dyDescent="0.25">
      <c r="A159" s="7" t="s">
        <v>347</v>
      </c>
      <c r="B159" s="8">
        <v>5.3</v>
      </c>
      <c r="C159" s="10">
        <v>4.68</v>
      </c>
      <c r="D159" s="4">
        <f t="shared" ref="D159:E159" si="156">AVERAGE(B159:B161)</f>
        <v>5.3266666666666671</v>
      </c>
      <c r="E159" s="4">
        <f t="shared" si="156"/>
        <v>4.7</v>
      </c>
    </row>
    <row r="160" spans="1:5" ht="15" x14ac:dyDescent="0.25">
      <c r="A160" s="7" t="s">
        <v>348</v>
      </c>
      <c r="B160" s="8">
        <v>5.32</v>
      </c>
      <c r="C160" s="10">
        <v>4.6900000000000004</v>
      </c>
      <c r="D160" s="4">
        <f t="shared" ref="D160:E160" si="157">AVERAGE(B160:B162)</f>
        <v>5.3599999999999994</v>
      </c>
      <c r="E160" s="4">
        <f t="shared" si="157"/>
        <v>4.9233333333333338</v>
      </c>
    </row>
    <row r="161" spans="1:5" ht="15" x14ac:dyDescent="0.25">
      <c r="A161" s="7" t="s">
        <v>54</v>
      </c>
      <c r="B161" s="8">
        <v>5.36</v>
      </c>
      <c r="C161" s="10">
        <v>4.7300000000000004</v>
      </c>
      <c r="D161" s="4">
        <f t="shared" ref="D161:E161" si="158">AVERAGE(B161:B163)</f>
        <v>5.3933333333333335</v>
      </c>
      <c r="E161" s="4">
        <f t="shared" si="158"/>
        <v>5.1566666666666663</v>
      </c>
    </row>
    <row r="162" spans="1:5" ht="15" x14ac:dyDescent="0.25">
      <c r="A162" s="7" t="s">
        <v>349</v>
      </c>
      <c r="B162" s="8">
        <v>5.4</v>
      </c>
      <c r="C162" s="10">
        <v>5.35</v>
      </c>
      <c r="D162" s="4">
        <f t="shared" ref="D162:E162" si="159">AVERAGE(B162:B164)</f>
        <v>5.4266666666666667</v>
      </c>
      <c r="E162" s="4">
        <f t="shared" si="159"/>
        <v>5.3866666666666658</v>
      </c>
    </row>
    <row r="163" spans="1:5" ht="15" x14ac:dyDescent="0.25">
      <c r="A163" s="7" t="s">
        <v>350</v>
      </c>
      <c r="B163" s="8">
        <v>5.42</v>
      </c>
      <c r="C163" s="10">
        <v>5.39</v>
      </c>
      <c r="D163" s="4">
        <f t="shared" ref="D163:E163" si="160">AVERAGE(B163:B165)</f>
        <v>5.4533333333333331</v>
      </c>
      <c r="E163" s="4">
        <f t="shared" si="160"/>
        <v>5.57</v>
      </c>
    </row>
    <row r="164" spans="1:5" ht="15" x14ac:dyDescent="0.25">
      <c r="A164" s="7" t="s">
        <v>55</v>
      </c>
      <c r="B164" s="8">
        <v>5.46</v>
      </c>
      <c r="C164" s="10">
        <v>5.42</v>
      </c>
      <c r="D164" s="4">
        <f t="shared" ref="D164:E164" si="161">AVERAGE(B164:B166)</f>
        <v>5.4833333333333343</v>
      </c>
      <c r="E164" s="4">
        <f t="shared" si="161"/>
        <v>5.82</v>
      </c>
    </row>
    <row r="165" spans="1:5" ht="15" x14ac:dyDescent="0.25">
      <c r="A165" s="7" t="s">
        <v>351</v>
      </c>
      <c r="B165" s="8">
        <v>5.48</v>
      </c>
      <c r="C165" s="10">
        <v>5.9</v>
      </c>
      <c r="D165" s="4">
        <f t="shared" ref="D165:E165" si="162">AVERAGE(B165:B167)</f>
        <v>5.5133333333333328</v>
      </c>
      <c r="E165" s="4">
        <f t="shared" si="162"/>
        <v>6.169999999999999</v>
      </c>
    </row>
    <row r="166" spans="1:5" ht="15" x14ac:dyDescent="0.25">
      <c r="A166" s="7" t="s">
        <v>352</v>
      </c>
      <c r="B166" s="8">
        <v>5.51</v>
      </c>
      <c r="C166" s="10">
        <v>6.14</v>
      </c>
      <c r="D166" s="4">
        <f t="shared" ref="D166:E166" si="163">AVERAGE(B166:B168)</f>
        <v>5.5466666666666669</v>
      </c>
      <c r="E166" s="4">
        <f t="shared" si="163"/>
        <v>6.3733333333333322</v>
      </c>
    </row>
    <row r="167" spans="1:5" ht="15" x14ac:dyDescent="0.25">
      <c r="A167" s="7" t="s">
        <v>56</v>
      </c>
      <c r="B167" s="8">
        <v>5.55</v>
      </c>
      <c r="C167" s="10">
        <v>6.47</v>
      </c>
      <c r="D167" s="4">
        <f t="shared" ref="D167:E167" si="164">AVERAGE(B167:B169)</f>
        <v>5.5799999999999992</v>
      </c>
      <c r="E167" s="4">
        <f t="shared" si="164"/>
        <v>6.5133333333333328</v>
      </c>
    </row>
    <row r="168" spans="1:5" ht="15" x14ac:dyDescent="0.25">
      <c r="A168" s="7" t="s">
        <v>353</v>
      </c>
      <c r="B168" s="8">
        <v>5.58</v>
      </c>
      <c r="C168" s="10">
        <v>6.51</v>
      </c>
      <c r="D168" s="4">
        <f t="shared" ref="D168:E168" si="165">AVERAGE(B168:B170)</f>
        <v>5.6166666666666671</v>
      </c>
      <c r="E168" s="4">
        <f t="shared" si="165"/>
        <v>6.59</v>
      </c>
    </row>
    <row r="169" spans="1:5" ht="15" x14ac:dyDescent="0.25">
      <c r="A169" s="7" t="s">
        <v>354</v>
      </c>
      <c r="B169" s="8">
        <v>5.61</v>
      </c>
      <c r="C169" s="10">
        <v>6.56</v>
      </c>
      <c r="D169" s="4">
        <f t="shared" ref="D169:E169" si="166">AVERAGE(B169:B171)</f>
        <v>5.6533333333333333</v>
      </c>
      <c r="E169" s="4">
        <f t="shared" si="166"/>
        <v>6.68</v>
      </c>
    </row>
    <row r="170" spans="1:5" ht="15" x14ac:dyDescent="0.25">
      <c r="A170" s="7" t="s">
        <v>57</v>
      </c>
      <c r="B170" s="8">
        <v>5.66</v>
      </c>
      <c r="C170" s="10">
        <v>6.7</v>
      </c>
      <c r="D170" s="4">
        <f t="shared" ref="D170:E170" si="167">AVERAGE(B170:B172)</f>
        <v>5.6933333333333342</v>
      </c>
      <c r="E170" s="4">
        <f t="shared" si="167"/>
        <v>6.7566666666666668</v>
      </c>
    </row>
    <row r="171" spans="1:5" ht="15" x14ac:dyDescent="0.25">
      <c r="A171" s="7" t="s">
        <v>355</v>
      </c>
      <c r="B171" s="8">
        <v>5.69</v>
      </c>
      <c r="C171" s="10">
        <v>6.78</v>
      </c>
      <c r="D171" s="4">
        <f t="shared" ref="D171:E171" si="168">AVERAGE(B171:B173)</f>
        <v>5.7366666666666672</v>
      </c>
      <c r="E171" s="4">
        <f t="shared" si="168"/>
        <v>6.82</v>
      </c>
    </row>
    <row r="172" spans="1:5" ht="15" x14ac:dyDescent="0.25">
      <c r="A172" s="7" t="s">
        <v>356</v>
      </c>
      <c r="B172" s="8">
        <v>5.73</v>
      </c>
      <c r="C172" s="10">
        <v>6.79</v>
      </c>
      <c r="D172" s="4">
        <f t="shared" ref="D172:E172" si="169">AVERAGE(B172:B174)</f>
        <v>5.78</v>
      </c>
      <c r="E172" s="4">
        <f t="shared" si="169"/>
        <v>7.0133333333333328</v>
      </c>
    </row>
    <row r="173" spans="1:5" ht="15" x14ac:dyDescent="0.25">
      <c r="A173" s="7" t="s">
        <v>58</v>
      </c>
      <c r="B173" s="8">
        <v>5.79</v>
      </c>
      <c r="C173" s="10">
        <v>6.89</v>
      </c>
      <c r="D173" s="4">
        <f t="shared" ref="D173:E173" si="170">AVERAGE(B173:B175)</f>
        <v>5.8233333333333333</v>
      </c>
      <c r="E173" s="4">
        <f t="shared" si="170"/>
        <v>7.2833333333333341</v>
      </c>
    </row>
    <row r="174" spans="1:5" ht="15" x14ac:dyDescent="0.25">
      <c r="A174" s="7" t="s">
        <v>357</v>
      </c>
      <c r="B174" s="8">
        <v>5.82</v>
      </c>
      <c r="C174" s="10">
        <v>7.36</v>
      </c>
      <c r="D174" s="4">
        <f t="shared" ref="D174:E174" si="171">AVERAGE(B174:B176)</f>
        <v>5.8599999999999994</v>
      </c>
      <c r="E174" s="4">
        <f t="shared" si="171"/>
        <v>7.59</v>
      </c>
    </row>
    <row r="175" spans="1:5" ht="15" x14ac:dyDescent="0.25">
      <c r="A175" s="7" t="s">
        <v>358</v>
      </c>
      <c r="B175" s="8">
        <v>5.86</v>
      </c>
      <c r="C175" s="10">
        <v>7.6</v>
      </c>
      <c r="D175" s="4">
        <f t="shared" ref="D175:E175" si="172">AVERAGE(B175:B177)</f>
        <v>5.8933333333333335</v>
      </c>
      <c r="E175" s="4">
        <f t="shared" si="172"/>
        <v>7.8166666666666664</v>
      </c>
    </row>
    <row r="176" spans="1:5" ht="15" x14ac:dyDescent="0.25">
      <c r="A176" s="7" t="s">
        <v>59</v>
      </c>
      <c r="B176" s="8">
        <v>5.9</v>
      </c>
      <c r="C176" s="10">
        <v>7.81</v>
      </c>
      <c r="D176" s="4">
        <f t="shared" ref="D176:E176" si="173">AVERAGE(B176:B178)</f>
        <v>5.93</v>
      </c>
      <c r="E176" s="4">
        <f t="shared" si="173"/>
        <v>8.1</v>
      </c>
    </row>
    <row r="177" spans="1:5" ht="15" x14ac:dyDescent="0.25">
      <c r="A177" s="7" t="s">
        <v>359</v>
      </c>
      <c r="B177" s="8">
        <v>5.92</v>
      </c>
      <c r="C177" s="10">
        <v>8.0399999999999991</v>
      </c>
      <c r="D177" s="4">
        <f t="shared" ref="D177:E177" si="174">AVERAGE(B177:B179)</f>
        <v>5.97</v>
      </c>
      <c r="E177" s="4">
        <f t="shared" si="174"/>
        <v>8.4833333333333325</v>
      </c>
    </row>
    <row r="178" spans="1:5" ht="15" x14ac:dyDescent="0.25">
      <c r="A178" s="7" t="s">
        <v>360</v>
      </c>
      <c r="B178" s="8">
        <v>5.97</v>
      </c>
      <c r="C178" s="10">
        <v>8.4499999999999993</v>
      </c>
      <c r="D178" s="4">
        <f t="shared" ref="D178:E178" si="175">AVERAGE(B178:B180)</f>
        <v>6.0133333333333328</v>
      </c>
      <c r="E178" s="4">
        <f t="shared" si="175"/>
        <v>9.0566666666666666</v>
      </c>
    </row>
    <row r="179" spans="1:5" ht="15" x14ac:dyDescent="0.25">
      <c r="A179" s="7" t="s">
        <v>60</v>
      </c>
      <c r="B179" s="8">
        <v>6.02</v>
      </c>
      <c r="C179" s="10">
        <v>8.9600000000000009</v>
      </c>
      <c r="D179" s="4">
        <f t="shared" ref="D179:E179" si="176">AVERAGE(B179:B181)</f>
        <v>6.0566666666666675</v>
      </c>
      <c r="E179" s="4">
        <f t="shared" si="176"/>
        <v>9.5833333333333339</v>
      </c>
    </row>
    <row r="180" spans="1:5" ht="15" x14ac:dyDescent="0.25">
      <c r="A180" s="7" t="s">
        <v>361</v>
      </c>
      <c r="B180" s="8">
        <v>6.05</v>
      </c>
      <c r="C180" s="10">
        <v>9.76</v>
      </c>
      <c r="D180" s="4">
        <f t="shared" ref="D180:E180" si="177">AVERAGE(B180:B182)</f>
        <v>6.0933333333333328</v>
      </c>
      <c r="E180" s="4">
        <f t="shared" si="177"/>
        <v>9.9533333333333331</v>
      </c>
    </row>
    <row r="181" spans="1:5" ht="15" x14ac:dyDescent="0.25">
      <c r="A181" s="7" t="s">
        <v>362</v>
      </c>
      <c r="B181" s="8">
        <v>6.1</v>
      </c>
      <c r="C181" s="10">
        <v>10.029999999999999</v>
      </c>
      <c r="D181" s="4">
        <f t="shared" ref="D181:E181" si="178">AVERAGE(B181:B183)</f>
        <v>6.1366666666666667</v>
      </c>
      <c r="E181" s="4">
        <f t="shared" si="178"/>
        <v>10.053333333333335</v>
      </c>
    </row>
    <row r="182" spans="1:5" ht="15" x14ac:dyDescent="0.25">
      <c r="A182" s="7" t="s">
        <v>61</v>
      </c>
      <c r="B182" s="8">
        <v>6.13</v>
      </c>
      <c r="C182" s="10">
        <v>10.07</v>
      </c>
      <c r="D182" s="4">
        <f t="shared" ref="D182:E182" si="179">AVERAGE(B182:B184)</f>
        <v>6.1766666666666659</v>
      </c>
      <c r="E182" s="4">
        <f t="shared" si="179"/>
        <v>10.073333333333334</v>
      </c>
    </row>
    <row r="183" spans="1:5" ht="15" x14ac:dyDescent="0.25">
      <c r="A183" s="7" t="s">
        <v>363</v>
      </c>
      <c r="B183" s="8">
        <v>6.18</v>
      </c>
      <c r="C183" s="10">
        <v>10.06</v>
      </c>
      <c r="D183" s="4">
        <f t="shared" ref="D183:E183" si="180">AVERAGE(B183:B185)</f>
        <v>6.2033333333333331</v>
      </c>
      <c r="E183" s="4">
        <f t="shared" si="180"/>
        <v>10.053333333333333</v>
      </c>
    </row>
    <row r="184" spans="1:5" ht="15" x14ac:dyDescent="0.25">
      <c r="A184" s="7" t="s">
        <v>364</v>
      </c>
      <c r="B184" s="8">
        <v>6.22</v>
      </c>
      <c r="C184" s="10">
        <v>10.09</v>
      </c>
      <c r="D184" s="4">
        <f t="shared" ref="D184:E184" si="181">AVERAGE(B184:B186)</f>
        <v>6.2333333333333334</v>
      </c>
      <c r="E184" s="4">
        <f t="shared" si="181"/>
        <v>10.113333333333335</v>
      </c>
    </row>
    <row r="185" spans="1:5" ht="15" x14ac:dyDescent="0.25">
      <c r="A185" s="7" t="s">
        <v>62</v>
      </c>
      <c r="B185" s="8">
        <v>6.21</v>
      </c>
      <c r="C185" s="10">
        <v>10.01</v>
      </c>
      <c r="D185" s="4">
        <f t="shared" ref="D185:E185" si="182">AVERAGE(B185:B187)</f>
        <v>6.2666666666666666</v>
      </c>
      <c r="E185" s="4">
        <f t="shared" si="182"/>
        <v>10.18</v>
      </c>
    </row>
    <row r="186" spans="1:5" ht="15" x14ac:dyDescent="0.25">
      <c r="A186" s="7" t="s">
        <v>365</v>
      </c>
      <c r="B186" s="8">
        <v>6.27</v>
      </c>
      <c r="C186" s="10">
        <v>10.24</v>
      </c>
      <c r="D186" s="4">
        <f t="shared" ref="D186:E186" si="183">AVERAGE(B186:B188)</f>
        <v>6.3166666666666664</v>
      </c>
      <c r="E186" s="4">
        <f t="shared" si="183"/>
        <v>10.333333333333334</v>
      </c>
    </row>
    <row r="187" spans="1:5" ht="15" x14ac:dyDescent="0.25">
      <c r="A187" s="7" t="s">
        <v>366</v>
      </c>
      <c r="B187" s="8">
        <v>6.32</v>
      </c>
      <c r="C187" s="10">
        <v>10.29</v>
      </c>
      <c r="D187" s="4">
        <f t="shared" ref="D187:E187" si="184">AVERAGE(B187:B189)</f>
        <v>6.3599999999999994</v>
      </c>
      <c r="E187" s="4">
        <f t="shared" si="184"/>
        <v>10.566666666666665</v>
      </c>
    </row>
    <row r="188" spans="1:5" ht="15" x14ac:dyDescent="0.25">
      <c r="A188" s="7" t="s">
        <v>63</v>
      </c>
      <c r="B188" s="8">
        <v>6.36</v>
      </c>
      <c r="C188" s="10">
        <v>10.47</v>
      </c>
      <c r="D188" s="4">
        <f t="shared" ref="D188:E188" si="185">AVERAGE(B188:B190)</f>
        <v>6.4033333333333333</v>
      </c>
      <c r="E188" s="4">
        <f t="shared" si="185"/>
        <v>10.946666666666667</v>
      </c>
    </row>
    <row r="189" spans="1:5" ht="15" x14ac:dyDescent="0.25">
      <c r="A189" s="7" t="s">
        <v>367</v>
      </c>
      <c r="B189" s="8">
        <v>6.4</v>
      </c>
      <c r="C189" s="10">
        <v>10.94</v>
      </c>
      <c r="D189" s="4">
        <f t="shared" ref="D189:E189" si="186">AVERAGE(B189:B191)</f>
        <v>6.4366666666666674</v>
      </c>
      <c r="E189" s="4">
        <f t="shared" si="186"/>
        <v>12.046666666666667</v>
      </c>
    </row>
    <row r="190" spans="1:5" ht="15" x14ac:dyDescent="0.25">
      <c r="A190" s="7" t="s">
        <v>368</v>
      </c>
      <c r="B190" s="8">
        <v>6.45</v>
      </c>
      <c r="C190" s="10">
        <v>11.43</v>
      </c>
      <c r="D190" s="4">
        <f t="shared" ref="D190:E190" si="187">AVERAGE(B190:B192)</f>
        <v>6.4733333333333336</v>
      </c>
      <c r="E190" s="4">
        <f t="shared" si="187"/>
        <v>12.793333333333331</v>
      </c>
    </row>
    <row r="191" spans="1:5" ht="15" x14ac:dyDescent="0.25">
      <c r="A191" s="7" t="s">
        <v>64</v>
      </c>
      <c r="B191" s="8">
        <v>6.46</v>
      </c>
      <c r="C191" s="10">
        <v>13.77</v>
      </c>
      <c r="D191" s="4">
        <f t="shared" ref="D191:E191" si="188">AVERAGE(B191:B193)</f>
        <v>6.5099999999999989</v>
      </c>
      <c r="E191" s="4">
        <f t="shared" si="188"/>
        <v>13.576666666666666</v>
      </c>
    </row>
    <row r="192" spans="1:5" ht="15" x14ac:dyDescent="0.25">
      <c r="A192" s="7" t="s">
        <v>369</v>
      </c>
      <c r="B192" s="8">
        <v>6.51</v>
      </c>
      <c r="C192" s="10">
        <v>13.18</v>
      </c>
      <c r="D192" s="4">
        <f t="shared" ref="D192:E192" si="189">AVERAGE(B192:B194)</f>
        <v>6.5466666666666669</v>
      </c>
      <c r="E192" s="4">
        <f t="shared" si="189"/>
        <v>13.593333333333334</v>
      </c>
    </row>
    <row r="193" spans="1:5" ht="15" x14ac:dyDescent="0.25">
      <c r="A193" s="7" t="s">
        <v>370</v>
      </c>
      <c r="B193" s="8">
        <v>6.56</v>
      </c>
      <c r="C193" s="10">
        <v>13.78</v>
      </c>
      <c r="D193" s="4">
        <f t="shared" ref="D193:E193" si="190">AVERAGE(B193:B195)</f>
        <v>6.586666666666666</v>
      </c>
      <c r="E193" s="4">
        <f t="shared" si="190"/>
        <v>13.910000000000002</v>
      </c>
    </row>
    <row r="194" spans="1:5" ht="15" x14ac:dyDescent="0.25">
      <c r="A194" s="7" t="s">
        <v>65</v>
      </c>
      <c r="B194" s="8">
        <v>6.57</v>
      </c>
      <c r="C194" s="10">
        <v>13.82</v>
      </c>
      <c r="D194" s="4">
        <f t="shared" ref="D194:E194" si="191">AVERAGE(B194:B196)</f>
        <v>6.63</v>
      </c>
      <c r="E194" s="4">
        <f t="shared" si="191"/>
        <v>15.046666666666667</v>
      </c>
    </row>
    <row r="195" spans="1:5" ht="15" x14ac:dyDescent="0.25">
      <c r="A195" s="7" t="s">
        <v>371</v>
      </c>
      <c r="B195" s="8">
        <v>6.63</v>
      </c>
      <c r="C195" s="10">
        <v>14.13</v>
      </c>
      <c r="D195" s="4">
        <f t="shared" ref="D195:E195" si="192">AVERAGE(B195:B197)</f>
        <v>6.68</v>
      </c>
      <c r="E195" s="4">
        <f t="shared" si="192"/>
        <v>16.309999999999999</v>
      </c>
    </row>
    <row r="196" spans="1:5" ht="15" x14ac:dyDescent="0.25">
      <c r="A196" s="7" t="s">
        <v>372</v>
      </c>
      <c r="B196" s="8">
        <v>6.69</v>
      </c>
      <c r="C196" s="10">
        <v>17.190000000000001</v>
      </c>
      <c r="D196" s="4">
        <f t="shared" ref="D196:E196" si="193">AVERAGE(B196:B198)</f>
        <v>6.7233333333333336</v>
      </c>
      <c r="E196" s="4">
        <f t="shared" si="193"/>
        <v>15.26</v>
      </c>
    </row>
    <row r="197" spans="1:5" ht="15" x14ac:dyDescent="0.25">
      <c r="A197" s="7" t="s">
        <v>66</v>
      </c>
      <c r="B197" s="8">
        <v>6.72</v>
      </c>
      <c r="C197" s="10">
        <v>17.61</v>
      </c>
      <c r="D197" s="4">
        <f t="shared" ref="D197:E197" si="194">AVERAGE(B197:B199)</f>
        <v>6.7666666666666666</v>
      </c>
      <c r="E197" s="4">
        <f t="shared" si="194"/>
        <v>12.686666666666667</v>
      </c>
    </row>
    <row r="198" spans="1:5" ht="15" x14ac:dyDescent="0.25">
      <c r="A198" s="7" t="s">
        <v>373</v>
      </c>
      <c r="B198" s="8">
        <v>6.76</v>
      </c>
      <c r="C198" s="10">
        <v>10.98</v>
      </c>
      <c r="D198" s="4">
        <f t="shared" ref="D198:E198" si="195">AVERAGE(B198:B200)</f>
        <v>6.8133333333333335</v>
      </c>
      <c r="E198" s="4">
        <f t="shared" si="195"/>
        <v>9.826666666666668</v>
      </c>
    </row>
    <row r="199" spans="1:5" ht="15" x14ac:dyDescent="0.25">
      <c r="A199" s="7" t="s">
        <v>374</v>
      </c>
      <c r="B199" s="8">
        <v>6.82</v>
      </c>
      <c r="C199" s="10">
        <v>9.4700000000000006</v>
      </c>
      <c r="D199" s="4">
        <f t="shared" ref="D199:E199" si="196">AVERAGE(B199:B201)</f>
        <v>6.8633333333333333</v>
      </c>
      <c r="E199" s="4">
        <f t="shared" si="196"/>
        <v>9.3699999999999992</v>
      </c>
    </row>
    <row r="200" spans="1:5" ht="15" x14ac:dyDescent="0.25">
      <c r="A200" s="7" t="s">
        <v>67</v>
      </c>
      <c r="B200" s="8">
        <v>6.86</v>
      </c>
      <c r="C200" s="10">
        <v>9.0299999999999994</v>
      </c>
      <c r="D200" s="4">
        <f t="shared" ref="D200:E200" si="197">AVERAGE(B200:B202)</f>
        <v>6.9066666666666663</v>
      </c>
      <c r="E200" s="4">
        <f t="shared" si="197"/>
        <v>9.836666666666666</v>
      </c>
    </row>
    <row r="201" spans="1:5" ht="15" x14ac:dyDescent="0.25">
      <c r="A201" s="7" t="s">
        <v>375</v>
      </c>
      <c r="B201" s="8">
        <v>6.91</v>
      </c>
      <c r="C201" s="10">
        <v>9.61</v>
      </c>
      <c r="D201" s="4">
        <f t="shared" ref="D201:E201" si="198">AVERAGE(B201:B203)</f>
        <v>6.96</v>
      </c>
      <c r="E201" s="4">
        <f t="shared" si="198"/>
        <v>11.096666666666666</v>
      </c>
    </row>
    <row r="202" spans="1:5" ht="15" x14ac:dyDescent="0.25">
      <c r="A202" s="7" t="s">
        <v>376</v>
      </c>
      <c r="B202" s="8">
        <v>6.95</v>
      </c>
      <c r="C202" s="10">
        <v>10.87</v>
      </c>
      <c r="D202" s="4">
        <f t="shared" ref="D202:E202" si="199">AVERAGE(B202:B204)</f>
        <v>7.02</v>
      </c>
      <c r="E202" s="4">
        <f t="shared" si="199"/>
        <v>13.176666666666668</v>
      </c>
    </row>
    <row r="203" spans="1:5" ht="15" x14ac:dyDescent="0.25">
      <c r="A203" s="7" t="s">
        <v>68</v>
      </c>
      <c r="B203" s="8">
        <v>7.02</v>
      </c>
      <c r="C203" s="10">
        <v>12.81</v>
      </c>
      <c r="D203" s="4">
        <f t="shared" ref="D203:E203" si="200">AVERAGE(B203:B205)</f>
        <v>7.0799999999999992</v>
      </c>
      <c r="E203" s="4">
        <f t="shared" si="200"/>
        <v>15.853333333333333</v>
      </c>
    </row>
    <row r="204" spans="1:5" ht="15" x14ac:dyDescent="0.25">
      <c r="A204" s="7" t="s">
        <v>377</v>
      </c>
      <c r="B204" s="8">
        <v>7.09</v>
      </c>
      <c r="C204" s="10">
        <v>15.85</v>
      </c>
      <c r="D204" s="4">
        <f t="shared" ref="D204:E204" si="201">AVERAGE(B204:B206)</f>
        <v>7.1333333333333329</v>
      </c>
      <c r="E204" s="4">
        <f t="shared" si="201"/>
        <v>17.943333333333332</v>
      </c>
    </row>
    <row r="205" spans="1:5" ht="15" x14ac:dyDescent="0.25">
      <c r="A205" s="7" t="s">
        <v>378</v>
      </c>
      <c r="B205" s="8">
        <v>7.13</v>
      </c>
      <c r="C205" s="10">
        <v>18.899999999999999</v>
      </c>
      <c r="D205" s="4">
        <f t="shared" ref="D205:E205" si="202">AVERAGE(B205:B207)</f>
        <v>7.18</v>
      </c>
      <c r="E205" s="4">
        <f t="shared" si="202"/>
        <v>17.97</v>
      </c>
    </row>
    <row r="206" spans="1:5" ht="15" x14ac:dyDescent="0.25">
      <c r="A206" s="7" t="s">
        <v>69</v>
      </c>
      <c r="B206" s="8">
        <v>7.18</v>
      </c>
      <c r="C206" s="10">
        <v>19.079999999999998</v>
      </c>
      <c r="D206" s="4">
        <f t="shared" ref="D206:E206" si="203">AVERAGE(B206:B208)</f>
        <v>7.2333333333333334</v>
      </c>
      <c r="E206" s="4">
        <f t="shared" si="203"/>
        <v>16.569999999999997</v>
      </c>
    </row>
    <row r="207" spans="1:5" ht="15" x14ac:dyDescent="0.25">
      <c r="A207" s="7" t="s">
        <v>379</v>
      </c>
      <c r="B207" s="8">
        <v>7.23</v>
      </c>
      <c r="C207" s="10">
        <v>15.93</v>
      </c>
      <c r="D207" s="4">
        <f t="shared" ref="D207:E207" si="204">AVERAGE(B207:B209)</f>
        <v>7.2833333333333341</v>
      </c>
      <c r="E207" s="4">
        <f t="shared" si="204"/>
        <v>15.450000000000001</v>
      </c>
    </row>
    <row r="208" spans="1:5" ht="15" x14ac:dyDescent="0.25">
      <c r="A208" s="7" t="s">
        <v>380</v>
      </c>
      <c r="B208" s="8">
        <v>7.29</v>
      </c>
      <c r="C208" s="10">
        <v>14.7</v>
      </c>
      <c r="D208" s="4">
        <f t="shared" ref="D208:E208" si="205">AVERAGE(B208:B210)</f>
        <v>7.330000000000001</v>
      </c>
      <c r="E208" s="4">
        <f t="shared" si="205"/>
        <v>16.313333333333333</v>
      </c>
    </row>
    <row r="209" spans="1:5" ht="15" x14ac:dyDescent="0.25">
      <c r="A209" s="7" t="s">
        <v>70</v>
      </c>
      <c r="B209" s="8">
        <v>7.33</v>
      </c>
      <c r="C209" s="10">
        <v>15.72</v>
      </c>
      <c r="D209" s="4">
        <f t="shared" ref="D209:E209" si="206">AVERAGE(B209:B211)</f>
        <v>7.37</v>
      </c>
      <c r="E209" s="4">
        <f t="shared" si="206"/>
        <v>17.78</v>
      </c>
    </row>
    <row r="210" spans="1:5" ht="15" x14ac:dyDescent="0.25">
      <c r="A210" s="7" t="s">
        <v>381</v>
      </c>
      <c r="B210" s="8">
        <v>7.37</v>
      </c>
      <c r="C210" s="10">
        <v>18.52</v>
      </c>
      <c r="D210" s="4">
        <f t="shared" ref="D210:E210" si="207">AVERAGE(B210:B212)</f>
        <v>7.41</v>
      </c>
      <c r="E210" s="4">
        <f t="shared" si="207"/>
        <v>18.886666666666667</v>
      </c>
    </row>
    <row r="211" spans="1:5" ht="15" x14ac:dyDescent="0.25">
      <c r="A211" s="7" t="s">
        <v>382</v>
      </c>
      <c r="B211" s="8">
        <v>7.41</v>
      </c>
      <c r="C211" s="10">
        <v>19.100000000000001</v>
      </c>
      <c r="D211" s="4">
        <f t="shared" ref="D211:E211" si="208">AVERAGE(B211:B213)</f>
        <v>7.46</v>
      </c>
      <c r="E211" s="4">
        <f t="shared" si="208"/>
        <v>18.653333333333332</v>
      </c>
    </row>
    <row r="212" spans="1:5" ht="15" x14ac:dyDescent="0.25">
      <c r="A212" s="7" t="s">
        <v>71</v>
      </c>
      <c r="B212" s="8">
        <v>7.45</v>
      </c>
      <c r="C212" s="10">
        <v>19.04</v>
      </c>
      <c r="D212" s="4">
        <f t="shared" ref="D212:E212" si="209">AVERAGE(B212:B214)</f>
        <v>7.5099999999999989</v>
      </c>
      <c r="E212" s="4">
        <f t="shared" si="209"/>
        <v>17.576666666666664</v>
      </c>
    </row>
    <row r="213" spans="1:5" ht="15" x14ac:dyDescent="0.25">
      <c r="A213" s="7" t="s">
        <v>383</v>
      </c>
      <c r="B213" s="8">
        <v>7.52</v>
      </c>
      <c r="C213" s="10">
        <v>17.82</v>
      </c>
      <c r="D213" s="4">
        <f t="shared" ref="D213:E213" si="210">AVERAGE(B213:B215)</f>
        <v>7.5566666666666658</v>
      </c>
      <c r="E213" s="4">
        <f t="shared" si="210"/>
        <v>16.256666666666664</v>
      </c>
    </row>
    <row r="214" spans="1:5" ht="15" x14ac:dyDescent="0.25">
      <c r="A214" s="7" t="s">
        <v>384</v>
      </c>
      <c r="B214" s="8">
        <v>7.56</v>
      </c>
      <c r="C214" s="10">
        <v>15.87</v>
      </c>
      <c r="D214" s="4">
        <f t="shared" ref="D214:E214" si="211">AVERAGE(B214:B216)</f>
        <v>7.5933333333333328</v>
      </c>
      <c r="E214" s="4">
        <f t="shared" si="211"/>
        <v>14.753333333333332</v>
      </c>
    </row>
    <row r="215" spans="1:5" ht="15" x14ac:dyDescent="0.25">
      <c r="A215" s="7" t="s">
        <v>72</v>
      </c>
      <c r="B215" s="8">
        <v>7.59</v>
      </c>
      <c r="C215" s="10">
        <v>15.08</v>
      </c>
      <c r="D215" s="4">
        <f t="shared" ref="D215:E215" si="212">AVERAGE(B215:B217)</f>
        <v>7.62</v>
      </c>
      <c r="E215" s="4">
        <f t="shared" si="212"/>
        <v>13.586666666666666</v>
      </c>
    </row>
    <row r="216" spans="1:5" ht="15" x14ac:dyDescent="0.25">
      <c r="A216" s="7" t="s">
        <v>385</v>
      </c>
      <c r="B216" s="8">
        <v>7.63</v>
      </c>
      <c r="C216" s="10">
        <v>13.31</v>
      </c>
      <c r="D216" s="4">
        <f t="shared" ref="D216:E216" si="213">AVERAGE(B216:B218)</f>
        <v>7.6633333333333331</v>
      </c>
      <c r="E216" s="4">
        <f t="shared" si="213"/>
        <v>12.966666666666667</v>
      </c>
    </row>
    <row r="217" spans="1:5" ht="15" x14ac:dyDescent="0.25">
      <c r="A217" s="7" t="s">
        <v>386</v>
      </c>
      <c r="B217" s="8">
        <v>7.64</v>
      </c>
      <c r="C217" s="10">
        <v>12.37</v>
      </c>
      <c r="D217" s="4">
        <f t="shared" ref="D217:E217" si="214">AVERAGE(B217:B219)</f>
        <v>7.6933333333333325</v>
      </c>
      <c r="E217" s="4">
        <f t="shared" si="214"/>
        <v>13.456666666666665</v>
      </c>
    </row>
    <row r="218" spans="1:5" ht="15" x14ac:dyDescent="0.25">
      <c r="A218" s="7" t="s">
        <v>73</v>
      </c>
      <c r="B218" s="8">
        <v>7.72</v>
      </c>
      <c r="C218" s="10">
        <v>13.22</v>
      </c>
      <c r="D218" s="4">
        <f t="shared" ref="D218:E218" si="215">AVERAGE(B218:B220)</f>
        <v>7.7299999999999995</v>
      </c>
      <c r="E218" s="4">
        <f t="shared" si="215"/>
        <v>14.226666666666667</v>
      </c>
    </row>
    <row r="219" spans="1:5" ht="15" x14ac:dyDescent="0.25">
      <c r="A219" s="7" t="s">
        <v>387</v>
      </c>
      <c r="B219" s="8">
        <v>7.72</v>
      </c>
      <c r="C219" s="10">
        <v>14.78</v>
      </c>
      <c r="D219" s="4">
        <f t="shared" ref="D219:E219" si="216">AVERAGE(B219:B221)</f>
        <v>7.7466666666666661</v>
      </c>
      <c r="E219" s="4">
        <f t="shared" si="216"/>
        <v>14.799999999999999</v>
      </c>
    </row>
    <row r="220" spans="1:5" ht="15" x14ac:dyDescent="0.25">
      <c r="A220" s="7" t="s">
        <v>388</v>
      </c>
      <c r="B220" s="8">
        <v>7.75</v>
      </c>
      <c r="C220" s="10">
        <v>14.68</v>
      </c>
      <c r="D220" s="4">
        <f t="shared" ref="D220:E220" si="217">AVERAGE(B220:B222)</f>
        <v>7.7866666666666662</v>
      </c>
      <c r="E220" s="4">
        <f t="shared" si="217"/>
        <v>14.689999999999998</v>
      </c>
    </row>
    <row r="221" spans="1:5" ht="15" x14ac:dyDescent="0.25">
      <c r="A221" s="7" t="s">
        <v>74</v>
      </c>
      <c r="B221" s="8">
        <v>7.77</v>
      </c>
      <c r="C221" s="10">
        <v>14.94</v>
      </c>
      <c r="D221" s="4">
        <f t="shared" ref="D221:E221" si="218">AVERAGE(B221:B223)</f>
        <v>7.82</v>
      </c>
      <c r="E221" s="4">
        <f t="shared" si="218"/>
        <v>14.513333333333334</v>
      </c>
    </row>
    <row r="222" spans="1:5" ht="15" x14ac:dyDescent="0.25">
      <c r="A222" s="7" t="s">
        <v>389</v>
      </c>
      <c r="B222" s="8">
        <v>7.84</v>
      </c>
      <c r="C222" s="10">
        <v>14.45</v>
      </c>
      <c r="D222" s="4">
        <f t="shared" ref="D222:E222" si="219">AVERAGE(B222:B224)</f>
        <v>7.8633333333333333</v>
      </c>
      <c r="E222" s="4">
        <f t="shared" si="219"/>
        <v>13.729999999999999</v>
      </c>
    </row>
    <row r="223" spans="1:5" ht="15" x14ac:dyDescent="0.25">
      <c r="A223" s="7" t="s">
        <v>390</v>
      </c>
      <c r="B223" s="8">
        <v>7.85</v>
      </c>
      <c r="C223" s="10">
        <v>14.15</v>
      </c>
      <c r="D223" s="4">
        <f t="shared" ref="D223:E223" si="220">AVERAGE(B223:B225)</f>
        <v>7.8966666666666674</v>
      </c>
      <c r="E223" s="4">
        <f t="shared" si="220"/>
        <v>12.286666666666667</v>
      </c>
    </row>
    <row r="224" spans="1:5" ht="15" x14ac:dyDescent="0.25">
      <c r="A224" s="7" t="s">
        <v>75</v>
      </c>
      <c r="B224" s="8">
        <v>7.9</v>
      </c>
      <c r="C224" s="10">
        <v>12.59</v>
      </c>
      <c r="D224" s="4">
        <f t="shared" ref="D224:E224" si="221">AVERAGE(B224:B226)</f>
        <v>7.9266666666666667</v>
      </c>
      <c r="E224" s="4">
        <f t="shared" si="221"/>
        <v>11.006666666666668</v>
      </c>
    </row>
    <row r="225" spans="1:5" ht="15" x14ac:dyDescent="0.25">
      <c r="A225" s="7" t="s">
        <v>391</v>
      </c>
      <c r="B225" s="8">
        <v>7.94</v>
      </c>
      <c r="C225" s="10">
        <v>10.119999999999999</v>
      </c>
      <c r="D225" s="4">
        <f t="shared" ref="D225:E225" si="222">AVERAGE(B225:B227)</f>
        <v>7.9466666666666663</v>
      </c>
      <c r="E225" s="4">
        <f t="shared" si="222"/>
        <v>10.046666666666667</v>
      </c>
    </row>
    <row r="226" spans="1:5" ht="15" x14ac:dyDescent="0.25">
      <c r="A226" s="7" t="s">
        <v>392</v>
      </c>
      <c r="B226" s="8">
        <v>7.94</v>
      </c>
      <c r="C226" s="10">
        <v>10.31</v>
      </c>
      <c r="D226" s="4">
        <f t="shared" ref="D226:E226" si="223">AVERAGE(B226:B228)</f>
        <v>7.9600000000000009</v>
      </c>
      <c r="E226" s="4">
        <f t="shared" si="223"/>
        <v>9.74</v>
      </c>
    </row>
    <row r="227" spans="1:5" ht="15" x14ac:dyDescent="0.25">
      <c r="A227" s="7" t="s">
        <v>76</v>
      </c>
      <c r="B227" s="8">
        <v>7.96</v>
      </c>
      <c r="C227" s="10">
        <v>9.7100000000000009</v>
      </c>
      <c r="D227" s="4">
        <f t="shared" ref="D227:E227" si="224">AVERAGE(B227:B229)</f>
        <v>7.9833333333333343</v>
      </c>
      <c r="E227" s="4">
        <f t="shared" si="224"/>
        <v>9.2866666666666671</v>
      </c>
    </row>
    <row r="228" spans="1:5" ht="15" x14ac:dyDescent="0.25">
      <c r="A228" s="7" t="s">
        <v>393</v>
      </c>
      <c r="B228" s="8">
        <v>7.98</v>
      </c>
      <c r="C228" s="10">
        <v>9.1999999999999993</v>
      </c>
      <c r="D228" s="4">
        <f t="shared" ref="D228:E228" si="225">AVERAGE(B228:B230)</f>
        <v>8.0166666666666675</v>
      </c>
      <c r="E228" s="4">
        <f t="shared" si="225"/>
        <v>8.9433333333333334</v>
      </c>
    </row>
    <row r="229" spans="1:5" ht="15" x14ac:dyDescent="0.25">
      <c r="A229" s="7" t="s">
        <v>394</v>
      </c>
      <c r="B229" s="8">
        <v>8.01</v>
      </c>
      <c r="C229" s="10">
        <v>8.9499999999999993</v>
      </c>
      <c r="D229" s="4">
        <f t="shared" ref="D229:E229" si="226">AVERAGE(B229:B231)</f>
        <v>8.0533333333333328</v>
      </c>
      <c r="E229" s="4">
        <f t="shared" si="226"/>
        <v>8.7133333333333329</v>
      </c>
    </row>
    <row r="230" spans="1:5" ht="15" x14ac:dyDescent="0.25">
      <c r="A230" s="7" t="s">
        <v>77</v>
      </c>
      <c r="B230" s="8">
        <v>8.06</v>
      </c>
      <c r="C230" s="10">
        <v>8.68</v>
      </c>
      <c r="D230" s="4">
        <f t="shared" ref="D230:E230" si="227">AVERAGE(B230:B232)</f>
        <v>8.0833333333333339</v>
      </c>
      <c r="E230" s="4">
        <f t="shared" si="227"/>
        <v>8.6533333333333324</v>
      </c>
    </row>
    <row r="231" spans="1:5" ht="15" x14ac:dyDescent="0.25">
      <c r="A231" s="7" t="s">
        <v>395</v>
      </c>
      <c r="B231" s="8">
        <v>8.09</v>
      </c>
      <c r="C231" s="10">
        <v>8.51</v>
      </c>
      <c r="D231" s="4">
        <f t="shared" ref="D231:E231" si="228">AVERAGE(B231:B233)</f>
        <v>8.1066666666666674</v>
      </c>
      <c r="E231" s="4">
        <f t="shared" si="228"/>
        <v>8.6933333333333334</v>
      </c>
    </row>
    <row r="232" spans="1:5" ht="15" x14ac:dyDescent="0.25">
      <c r="A232" s="7" t="s">
        <v>396</v>
      </c>
      <c r="B232" s="8">
        <v>8.1</v>
      </c>
      <c r="C232" s="10">
        <v>8.77</v>
      </c>
      <c r="D232" s="4">
        <f t="shared" ref="D232:E232" si="229">AVERAGE(B232:B234)</f>
        <v>8.1333333333333329</v>
      </c>
      <c r="E232" s="4">
        <f t="shared" si="229"/>
        <v>8.7333333333333343</v>
      </c>
    </row>
    <row r="233" spans="1:5" ht="15" x14ac:dyDescent="0.25">
      <c r="A233" s="7" t="s">
        <v>78</v>
      </c>
      <c r="B233" s="8">
        <v>8.1300000000000008</v>
      </c>
      <c r="C233" s="10">
        <v>8.8000000000000007</v>
      </c>
      <c r="D233" s="4">
        <f t="shared" ref="D233:E233" si="230">AVERAGE(B233:B235)</f>
        <v>8.163333333333334</v>
      </c>
      <c r="E233" s="4">
        <f t="shared" si="230"/>
        <v>8.8033333333333328</v>
      </c>
    </row>
    <row r="234" spans="1:5" ht="15" x14ac:dyDescent="0.25">
      <c r="A234" s="7" t="s">
        <v>397</v>
      </c>
      <c r="B234" s="8">
        <v>8.17</v>
      </c>
      <c r="C234" s="10">
        <v>8.6300000000000008</v>
      </c>
      <c r="D234" s="4">
        <f t="shared" ref="D234:E234" si="231">AVERAGE(B234:B236)</f>
        <v>8.1933333333333334</v>
      </c>
      <c r="E234" s="4">
        <f t="shared" si="231"/>
        <v>8.9933333333333323</v>
      </c>
    </row>
    <row r="235" spans="1:5" ht="15" x14ac:dyDescent="0.25">
      <c r="A235" s="7" t="s">
        <v>398</v>
      </c>
      <c r="B235" s="8">
        <v>8.19</v>
      </c>
      <c r="C235" s="10">
        <v>8.98</v>
      </c>
      <c r="D235" s="4">
        <f t="shared" ref="D235:E235" si="232">AVERAGE(B235:B237)</f>
        <v>8.2033333333333331</v>
      </c>
      <c r="E235" s="4">
        <f t="shared" si="232"/>
        <v>9.3033333333333346</v>
      </c>
    </row>
    <row r="236" spans="1:5" ht="15" x14ac:dyDescent="0.25">
      <c r="A236" s="7" t="s">
        <v>79</v>
      </c>
      <c r="B236" s="8">
        <v>8.2200000000000006</v>
      </c>
      <c r="C236" s="10">
        <v>9.3699999999999992</v>
      </c>
      <c r="D236" s="4">
        <f t="shared" ref="D236:E236" si="233">AVERAGE(B236:B238)</f>
        <v>8.23</v>
      </c>
      <c r="E236" s="4">
        <f t="shared" si="233"/>
        <v>9.4599999999999991</v>
      </c>
    </row>
    <row r="237" spans="1:5" ht="15" x14ac:dyDescent="0.25">
      <c r="A237" s="7" t="s">
        <v>399</v>
      </c>
      <c r="B237" s="8">
        <v>8.1999999999999993</v>
      </c>
      <c r="C237" s="10">
        <v>9.56</v>
      </c>
      <c r="D237" s="4">
        <f t="shared" ref="D237:E237" si="234">AVERAGE(B237:B239)</f>
        <v>8.26</v>
      </c>
      <c r="E237" s="4">
        <f t="shared" si="234"/>
        <v>9.4966666666666661</v>
      </c>
    </row>
    <row r="238" spans="1:5" ht="15" x14ac:dyDescent="0.25">
      <c r="A238" s="7" t="s">
        <v>400</v>
      </c>
      <c r="B238" s="8">
        <v>8.27</v>
      </c>
      <c r="C238" s="10">
        <v>9.4499999999999993</v>
      </c>
      <c r="D238" s="4">
        <f t="shared" ref="D238:E238" si="235">AVERAGE(B238:B240)</f>
        <v>8.2966666666666669</v>
      </c>
      <c r="E238" s="4">
        <f t="shared" si="235"/>
        <v>9.4233333333333338</v>
      </c>
    </row>
    <row r="239" spans="1:5" ht="15" x14ac:dyDescent="0.25">
      <c r="A239" s="7" t="s">
        <v>80</v>
      </c>
      <c r="B239" s="8">
        <v>8.31</v>
      </c>
      <c r="C239" s="10">
        <v>9.48</v>
      </c>
      <c r="D239" s="4">
        <f t="shared" ref="D239:E239" si="236">AVERAGE(B239:B241)</f>
        <v>8.3166666666666682</v>
      </c>
      <c r="E239" s="4">
        <f t="shared" si="236"/>
        <v>9.43</v>
      </c>
    </row>
    <row r="240" spans="1:5" ht="15" x14ac:dyDescent="0.25">
      <c r="A240" s="7" t="s">
        <v>401</v>
      </c>
      <c r="B240" s="8">
        <v>8.31</v>
      </c>
      <c r="C240" s="10">
        <v>9.34</v>
      </c>
      <c r="D240" s="4">
        <f t="shared" ref="D240:E240" si="237">AVERAGE(B240:B242)</f>
        <v>8.3400000000000016</v>
      </c>
      <c r="E240" s="4">
        <f t="shared" si="237"/>
        <v>9.4566666666666688</v>
      </c>
    </row>
    <row r="241" spans="1:5" ht="15" x14ac:dyDescent="0.25">
      <c r="A241" s="7" t="s">
        <v>402</v>
      </c>
      <c r="B241" s="8">
        <v>8.33</v>
      </c>
      <c r="C241" s="10">
        <v>9.4700000000000006</v>
      </c>
      <c r="D241" s="4">
        <f t="shared" ref="D241:E241" si="238">AVERAGE(B241:B243)</f>
        <v>8.3633333333333351</v>
      </c>
      <c r="E241" s="4">
        <f t="shared" si="238"/>
        <v>9.5400000000000009</v>
      </c>
    </row>
    <row r="242" spans="1:5" ht="15" x14ac:dyDescent="0.25">
      <c r="A242" s="7" t="s">
        <v>81</v>
      </c>
      <c r="B242" s="8">
        <v>8.3800000000000008</v>
      </c>
      <c r="C242" s="10">
        <v>9.56</v>
      </c>
      <c r="D242" s="4">
        <f t="shared" ref="D242:E242" si="239">AVERAGE(B242:B244)</f>
        <v>8.39</v>
      </c>
      <c r="E242" s="4">
        <f t="shared" si="239"/>
        <v>9.6866666666666656</v>
      </c>
    </row>
    <row r="243" spans="1:5" ht="15" x14ac:dyDescent="0.25">
      <c r="A243" s="7" t="s">
        <v>403</v>
      </c>
      <c r="B243" s="8">
        <v>8.3800000000000008</v>
      </c>
      <c r="C243" s="10">
        <v>9.59</v>
      </c>
      <c r="D243" s="4">
        <f t="shared" ref="D243:E243" si="240">AVERAGE(B243:B245)</f>
        <v>8.4133333333333322</v>
      </c>
      <c r="E243" s="4">
        <f t="shared" si="240"/>
        <v>9.93</v>
      </c>
    </row>
    <row r="244" spans="1:5" ht="15" x14ac:dyDescent="0.25">
      <c r="A244" s="7" t="s">
        <v>404</v>
      </c>
      <c r="B244" s="8">
        <v>8.41</v>
      </c>
      <c r="C244" s="10">
        <v>9.91</v>
      </c>
      <c r="D244" s="4">
        <f t="shared" ref="D244:E244" si="241">AVERAGE(B244:B246)</f>
        <v>8.4366666666666656</v>
      </c>
      <c r="E244" s="4">
        <f t="shared" si="241"/>
        <v>10.173333333333334</v>
      </c>
    </row>
    <row r="245" spans="1:5" ht="15" x14ac:dyDescent="0.25">
      <c r="A245" s="7" t="s">
        <v>82</v>
      </c>
      <c r="B245" s="8">
        <v>8.4499999999999993</v>
      </c>
      <c r="C245" s="10">
        <v>10.29</v>
      </c>
      <c r="D245" s="4">
        <f t="shared" ref="D245:E245" si="242">AVERAGE(B245:B247)</f>
        <v>8.4599999999999991</v>
      </c>
      <c r="E245" s="4">
        <f t="shared" si="242"/>
        <v>10.556666666666667</v>
      </c>
    </row>
    <row r="246" spans="1:5" ht="15" x14ac:dyDescent="0.25">
      <c r="A246" s="7" t="s">
        <v>405</v>
      </c>
      <c r="B246" s="8">
        <v>8.4499999999999993</v>
      </c>
      <c r="C246" s="10">
        <v>10.32</v>
      </c>
      <c r="D246" s="4">
        <f t="shared" ref="D246:E246" si="243">AVERAGE(B246:B248)</f>
        <v>8.4799999999999986</v>
      </c>
      <c r="E246" s="4">
        <f t="shared" si="243"/>
        <v>10.87</v>
      </c>
    </row>
    <row r="247" spans="1:5" ht="15" x14ac:dyDescent="0.25">
      <c r="A247" s="7" t="s">
        <v>406</v>
      </c>
      <c r="B247" s="8">
        <v>8.48</v>
      </c>
      <c r="C247" s="10">
        <v>11.06</v>
      </c>
      <c r="D247" s="4">
        <f t="shared" ref="D247:E247" si="244">AVERAGE(B247:B249)</f>
        <v>8.5</v>
      </c>
      <c r="E247" s="4">
        <f t="shared" si="244"/>
        <v>11.31</v>
      </c>
    </row>
    <row r="248" spans="1:5" ht="15" x14ac:dyDescent="0.25">
      <c r="A248" s="7" t="s">
        <v>83</v>
      </c>
      <c r="B248" s="8">
        <v>8.51</v>
      </c>
      <c r="C248" s="10">
        <v>11.23</v>
      </c>
      <c r="D248" s="4">
        <f t="shared" ref="D248:E248" si="245">AVERAGE(B248:B250)</f>
        <v>8.5233333333333334</v>
      </c>
      <c r="E248" s="4">
        <f t="shared" si="245"/>
        <v>11.39</v>
      </c>
    </row>
    <row r="249" spans="1:5" ht="15" x14ac:dyDescent="0.25">
      <c r="A249" s="7" t="s">
        <v>407</v>
      </c>
      <c r="B249" s="8">
        <v>8.51</v>
      </c>
      <c r="C249" s="10">
        <v>11.64</v>
      </c>
      <c r="D249" s="4">
        <f t="shared" ref="D249:E249" si="246">AVERAGE(B249:B251)</f>
        <v>8.5366666666666671</v>
      </c>
      <c r="E249" s="4">
        <f t="shared" si="246"/>
        <v>10.976666666666667</v>
      </c>
    </row>
    <row r="250" spans="1:5" ht="15" x14ac:dyDescent="0.25">
      <c r="A250" s="7" t="s">
        <v>408</v>
      </c>
      <c r="B250" s="8">
        <v>8.5500000000000007</v>
      </c>
      <c r="C250" s="10">
        <v>11.3</v>
      </c>
      <c r="D250" s="4">
        <f t="shared" ref="D250:E250" si="247">AVERAGE(B250:B252)</f>
        <v>8.5566666666666666</v>
      </c>
      <c r="E250" s="4">
        <f t="shared" si="247"/>
        <v>10.24</v>
      </c>
    </row>
    <row r="251" spans="1:5" ht="15" x14ac:dyDescent="0.25">
      <c r="A251" s="7" t="s">
        <v>84</v>
      </c>
      <c r="B251" s="8">
        <v>8.5500000000000007</v>
      </c>
      <c r="C251" s="10">
        <v>9.99</v>
      </c>
      <c r="D251" s="4">
        <f t="shared" ref="D251:E251" si="248">AVERAGE(B251:B253)</f>
        <v>8.5766666666666662</v>
      </c>
      <c r="E251" s="4">
        <f t="shared" si="248"/>
        <v>9.2666666666666675</v>
      </c>
    </row>
    <row r="252" spans="1:5" ht="15" x14ac:dyDescent="0.25">
      <c r="A252" s="7" t="s">
        <v>409</v>
      </c>
      <c r="B252" s="8">
        <v>8.57</v>
      </c>
      <c r="C252" s="10">
        <v>9.43</v>
      </c>
      <c r="D252" s="4">
        <f t="shared" ref="D252:E252" si="249">AVERAGE(B252:B254)</f>
        <v>8.5966666666666658</v>
      </c>
      <c r="E252" s="4">
        <f t="shared" si="249"/>
        <v>8.7200000000000006</v>
      </c>
    </row>
    <row r="253" spans="1:5" ht="15" x14ac:dyDescent="0.25">
      <c r="A253" s="7" t="s">
        <v>410</v>
      </c>
      <c r="B253" s="8">
        <v>8.61</v>
      </c>
      <c r="C253" s="10">
        <v>8.3800000000000008</v>
      </c>
      <c r="D253" s="4">
        <f t="shared" ref="D253:E253" si="250">AVERAGE(B253:B255)</f>
        <v>8.6199999999999992</v>
      </c>
      <c r="E253" s="4">
        <f t="shared" si="250"/>
        <v>8.41</v>
      </c>
    </row>
    <row r="254" spans="1:5" ht="15" x14ac:dyDescent="0.25">
      <c r="A254" s="7" t="s">
        <v>85</v>
      </c>
      <c r="B254" s="8">
        <v>8.61</v>
      </c>
      <c r="C254" s="10">
        <v>8.35</v>
      </c>
      <c r="D254" s="4">
        <f t="shared" ref="D254:E254" si="251">AVERAGE(B254:B256)</f>
        <v>8.6366666666666667</v>
      </c>
      <c r="E254" s="4">
        <f t="shared" si="251"/>
        <v>8.4766666666666666</v>
      </c>
    </row>
    <row r="255" spans="1:5" ht="15" x14ac:dyDescent="0.25">
      <c r="A255" s="7" t="s">
        <v>411</v>
      </c>
      <c r="B255" s="8">
        <v>8.64</v>
      </c>
      <c r="C255" s="10">
        <v>8.5</v>
      </c>
      <c r="D255" s="4">
        <f t="shared" ref="D255:E255" si="252">AVERAGE(B255:B257)</f>
        <v>8.663333333333334</v>
      </c>
      <c r="E255" s="4">
        <f t="shared" si="252"/>
        <v>8.4499999999999993</v>
      </c>
    </row>
    <row r="256" spans="1:5" ht="15" x14ac:dyDescent="0.25">
      <c r="A256" s="7" t="s">
        <v>412</v>
      </c>
      <c r="B256" s="8">
        <v>8.66</v>
      </c>
      <c r="C256" s="10">
        <v>8.58</v>
      </c>
      <c r="D256" s="4">
        <f t="shared" ref="D256:E256" si="253">AVERAGE(B256:B258)</f>
        <v>8.6833333333333336</v>
      </c>
      <c r="E256" s="4">
        <f t="shared" si="253"/>
        <v>8.2733333333333334</v>
      </c>
    </row>
    <row r="257" spans="1:5" ht="15" x14ac:dyDescent="0.25">
      <c r="A257" s="7" t="s">
        <v>86</v>
      </c>
      <c r="B257" s="8">
        <v>8.69</v>
      </c>
      <c r="C257" s="10">
        <v>8.27</v>
      </c>
      <c r="D257" s="4">
        <f t="shared" ref="D257:E257" si="254">AVERAGE(B257:B259)</f>
        <v>8.7100000000000009</v>
      </c>
      <c r="E257" s="4">
        <f t="shared" si="254"/>
        <v>7.9233333333333329</v>
      </c>
    </row>
    <row r="258" spans="1:5" ht="15" x14ac:dyDescent="0.25">
      <c r="A258" s="7" t="s">
        <v>413</v>
      </c>
      <c r="B258" s="8">
        <v>8.6999999999999993</v>
      </c>
      <c r="C258" s="10">
        <v>7.97</v>
      </c>
      <c r="D258" s="4">
        <f t="shared" ref="D258:E258" si="255">AVERAGE(B258:B260)</f>
        <v>8.7266666666666666</v>
      </c>
      <c r="E258" s="4">
        <f t="shared" si="255"/>
        <v>7.793333333333333</v>
      </c>
    </row>
    <row r="259" spans="1:5" ht="15" x14ac:dyDescent="0.25">
      <c r="A259" s="7" t="s">
        <v>414</v>
      </c>
      <c r="B259" s="8">
        <v>8.74</v>
      </c>
      <c r="C259" s="10">
        <v>7.53</v>
      </c>
      <c r="D259" s="4">
        <f t="shared" ref="D259:E259" si="256">AVERAGE(B259:B261)</f>
        <v>8.7466666666666679</v>
      </c>
      <c r="E259" s="4">
        <f t="shared" si="256"/>
        <v>7.7700000000000005</v>
      </c>
    </row>
    <row r="260" spans="1:5" ht="15" x14ac:dyDescent="0.25">
      <c r="A260" s="7" t="s">
        <v>87</v>
      </c>
      <c r="B260" s="8">
        <v>8.74</v>
      </c>
      <c r="C260" s="10">
        <v>7.88</v>
      </c>
      <c r="D260" s="4">
        <f t="shared" ref="D260:E260" si="257">AVERAGE(B260:B262)</f>
        <v>8.7666666666666675</v>
      </c>
      <c r="E260" s="4">
        <f t="shared" si="257"/>
        <v>7.9000000000000012</v>
      </c>
    </row>
    <row r="261" spans="1:5" ht="15" x14ac:dyDescent="0.25">
      <c r="A261" s="7" t="s">
        <v>415</v>
      </c>
      <c r="B261" s="8">
        <v>8.76</v>
      </c>
      <c r="C261" s="10">
        <v>7.9</v>
      </c>
      <c r="D261" s="4">
        <f t="shared" ref="D261:E261" si="258">AVERAGE(B261:B263)</f>
        <v>8.7833333333333332</v>
      </c>
      <c r="E261" s="4">
        <f t="shared" si="258"/>
        <v>7.9366666666666674</v>
      </c>
    </row>
    <row r="262" spans="1:5" ht="15" x14ac:dyDescent="0.25">
      <c r="A262" s="7" t="s">
        <v>416</v>
      </c>
      <c r="B262" s="8">
        <v>8.8000000000000007</v>
      </c>
      <c r="C262" s="10">
        <v>7.92</v>
      </c>
      <c r="D262" s="4">
        <f t="shared" ref="D262:E262" si="259">AVERAGE(B262:B264)</f>
        <v>8.7999999999999989</v>
      </c>
      <c r="E262" s="4">
        <f t="shared" si="259"/>
        <v>7.9866666666666672</v>
      </c>
    </row>
    <row r="263" spans="1:5" ht="15" x14ac:dyDescent="0.25">
      <c r="A263" s="7" t="s">
        <v>88</v>
      </c>
      <c r="B263" s="8">
        <v>8.7899999999999991</v>
      </c>
      <c r="C263" s="10">
        <v>7.99</v>
      </c>
      <c r="D263" s="4">
        <f t="shared" ref="D263:E263" si="260">AVERAGE(B263:B265)</f>
        <v>8.8233333333333324</v>
      </c>
      <c r="E263" s="4">
        <f t="shared" si="260"/>
        <v>8.1033333333333335</v>
      </c>
    </row>
    <row r="264" spans="1:5" ht="15" x14ac:dyDescent="0.25">
      <c r="A264" s="7" t="s">
        <v>417</v>
      </c>
      <c r="B264" s="8">
        <v>8.81</v>
      </c>
      <c r="C264" s="10">
        <v>8.0500000000000007</v>
      </c>
      <c r="D264" s="4">
        <f t="shared" ref="D264:E264" si="261">AVERAGE(B264:B266)</f>
        <v>8.8433333333333337</v>
      </c>
      <c r="E264" s="4">
        <f t="shared" si="261"/>
        <v>8.1533333333333342</v>
      </c>
    </row>
    <row r="265" spans="1:5" ht="15" x14ac:dyDescent="0.25">
      <c r="A265" s="7" t="s">
        <v>418</v>
      </c>
      <c r="B265" s="8">
        <v>8.8699999999999992</v>
      </c>
      <c r="C265" s="10">
        <v>8.27</v>
      </c>
      <c r="D265" s="4">
        <f t="shared" ref="D265:E265" si="262">AVERAGE(B265:B267)</f>
        <v>8.8666666666666671</v>
      </c>
      <c r="E265" s="4">
        <f t="shared" si="262"/>
        <v>8.09</v>
      </c>
    </row>
    <row r="266" spans="1:5" ht="15" x14ac:dyDescent="0.25">
      <c r="A266" s="7" t="s">
        <v>89</v>
      </c>
      <c r="B266" s="8">
        <v>8.85</v>
      </c>
      <c r="C266" s="10">
        <v>8.14</v>
      </c>
      <c r="D266" s="4">
        <f t="shared" ref="D266:E266" si="263">AVERAGE(B266:B268)</f>
        <v>8.8733333333333331</v>
      </c>
      <c r="E266" s="4">
        <f t="shared" si="263"/>
        <v>7.8266666666666671</v>
      </c>
    </row>
    <row r="267" spans="1:5" ht="15" x14ac:dyDescent="0.25">
      <c r="A267" s="7" t="s">
        <v>419</v>
      </c>
      <c r="B267" s="8">
        <v>8.8800000000000008</v>
      </c>
      <c r="C267" s="10">
        <v>7.86</v>
      </c>
      <c r="D267" s="4">
        <f t="shared" ref="D267:E267" si="264">AVERAGE(B267:B269)</f>
        <v>8.8833333333333346</v>
      </c>
      <c r="E267" s="4">
        <f t="shared" si="264"/>
        <v>7.4433333333333325</v>
      </c>
    </row>
    <row r="268" spans="1:5" ht="15" x14ac:dyDescent="0.25">
      <c r="A268" s="7" t="s">
        <v>420</v>
      </c>
      <c r="B268" s="8">
        <v>8.89</v>
      </c>
      <c r="C268" s="10">
        <v>7.48</v>
      </c>
      <c r="D268" s="4">
        <f t="shared" ref="D268:E268" si="265">AVERAGE(B268:B270)</f>
        <v>8.89</v>
      </c>
      <c r="E268" s="4">
        <f t="shared" si="265"/>
        <v>7.1066666666666665</v>
      </c>
    </row>
    <row r="269" spans="1:5" ht="15" x14ac:dyDescent="0.25">
      <c r="A269" s="7" t="s">
        <v>90</v>
      </c>
      <c r="B269" s="8">
        <v>8.8800000000000008</v>
      </c>
      <c r="C269" s="10">
        <v>6.99</v>
      </c>
      <c r="D269" s="4">
        <f t="shared" ref="D269:E269" si="266">AVERAGE(B269:B271)</f>
        <v>8.9</v>
      </c>
      <c r="E269" s="4">
        <f t="shared" si="266"/>
        <v>6.919999999999999</v>
      </c>
    </row>
    <row r="270" spans="1:5" ht="15" x14ac:dyDescent="0.25">
      <c r="A270" s="7" t="s">
        <v>421</v>
      </c>
      <c r="B270" s="8">
        <v>8.9</v>
      </c>
      <c r="C270" s="10">
        <v>6.85</v>
      </c>
      <c r="D270" s="4">
        <f t="shared" ref="D270:E270" si="267">AVERAGE(B270:B272)</f>
        <v>8.91</v>
      </c>
      <c r="E270" s="4">
        <f t="shared" si="267"/>
        <v>6.7766666666666664</v>
      </c>
    </row>
    <row r="271" spans="1:5" ht="15" x14ac:dyDescent="0.25">
      <c r="A271" s="7" t="s">
        <v>422</v>
      </c>
      <c r="B271" s="8">
        <v>8.92</v>
      </c>
      <c r="C271" s="10">
        <v>6.92</v>
      </c>
      <c r="D271" s="4">
        <f t="shared" ref="D271:E271" si="268">AVERAGE(B271:B273)</f>
        <v>8.923333333333332</v>
      </c>
      <c r="E271" s="4">
        <f t="shared" si="268"/>
        <v>6.55</v>
      </c>
    </row>
    <row r="272" spans="1:5" ht="15" x14ac:dyDescent="0.25">
      <c r="A272" s="7" t="s">
        <v>91</v>
      </c>
      <c r="B272" s="8">
        <v>8.91</v>
      </c>
      <c r="C272" s="10">
        <v>6.56</v>
      </c>
      <c r="D272" s="4">
        <f t="shared" ref="D272:E272" si="269">AVERAGE(B272:B274)</f>
        <v>8.93</v>
      </c>
      <c r="E272" s="4">
        <f t="shared" si="269"/>
        <v>6.206666666666667</v>
      </c>
    </row>
    <row r="273" spans="1:5" ht="15" x14ac:dyDescent="0.25">
      <c r="A273" s="7" t="s">
        <v>423</v>
      </c>
      <c r="B273" s="8">
        <v>8.94</v>
      </c>
      <c r="C273" s="10">
        <v>6.17</v>
      </c>
      <c r="D273" s="4">
        <f t="shared" ref="D273:E273" si="270">AVERAGE(B273:B275)</f>
        <v>8.9466666666666672</v>
      </c>
      <c r="E273" s="4">
        <f t="shared" si="270"/>
        <v>5.9699999999999989</v>
      </c>
    </row>
    <row r="274" spans="1:5" ht="15" x14ac:dyDescent="0.25">
      <c r="A274" s="7" t="s">
        <v>424</v>
      </c>
      <c r="B274" s="8">
        <v>8.94</v>
      </c>
      <c r="C274" s="10">
        <v>5.89</v>
      </c>
      <c r="D274" s="4">
        <f t="shared" ref="D274:E274" si="271">AVERAGE(B274:B276)</f>
        <v>8.9699999999999989</v>
      </c>
      <c r="E274" s="4">
        <f t="shared" si="271"/>
        <v>5.9266666666666659</v>
      </c>
    </row>
    <row r="275" spans="1:5" ht="15" x14ac:dyDescent="0.25">
      <c r="A275" s="7" t="s">
        <v>92</v>
      </c>
      <c r="B275" s="8">
        <v>8.9600000000000009</v>
      </c>
      <c r="C275" s="10">
        <v>5.85</v>
      </c>
      <c r="D275" s="4">
        <f t="shared" ref="D275:E275" si="272">AVERAGE(B275:B277)</f>
        <v>8.9933333333333323</v>
      </c>
      <c r="E275" s="4">
        <f t="shared" si="272"/>
        <v>6.2666666666666666</v>
      </c>
    </row>
    <row r="276" spans="1:5" ht="15" x14ac:dyDescent="0.25">
      <c r="A276" s="7" t="s">
        <v>425</v>
      </c>
      <c r="B276" s="8">
        <v>9.01</v>
      </c>
      <c r="C276" s="10">
        <v>6.04</v>
      </c>
      <c r="D276" s="4">
        <f t="shared" ref="D276:E276" si="273">AVERAGE(B276:B278)</f>
        <v>9.0133333333333336</v>
      </c>
      <c r="E276" s="4">
        <f t="shared" si="273"/>
        <v>6.46</v>
      </c>
    </row>
    <row r="277" spans="1:5" ht="15" x14ac:dyDescent="0.25">
      <c r="A277" s="7" t="s">
        <v>426</v>
      </c>
      <c r="B277" s="8">
        <v>9.01</v>
      </c>
      <c r="C277" s="10">
        <v>6.91</v>
      </c>
      <c r="D277" s="4">
        <f t="shared" ref="D277:E277" si="274">AVERAGE(B277:B279)</f>
        <v>9.0266666666666673</v>
      </c>
      <c r="E277" s="4">
        <f t="shared" si="274"/>
        <v>6.4799999999999995</v>
      </c>
    </row>
    <row r="278" spans="1:5" ht="15" x14ac:dyDescent="0.25">
      <c r="A278" s="7" t="s">
        <v>93</v>
      </c>
      <c r="B278" s="8">
        <v>9.02</v>
      </c>
      <c r="C278" s="10">
        <v>6.43</v>
      </c>
      <c r="D278" s="4">
        <f t="shared" ref="D278:E278" si="275">AVERAGE(B278:B280)</f>
        <v>9.0466666666666669</v>
      </c>
      <c r="E278" s="4">
        <f t="shared" si="275"/>
        <v>6.22</v>
      </c>
    </row>
    <row r="279" spans="1:5" ht="15" x14ac:dyDescent="0.25">
      <c r="A279" s="7" t="s">
        <v>427</v>
      </c>
      <c r="B279" s="8">
        <v>9.0500000000000007</v>
      </c>
      <c r="C279" s="10">
        <v>6.1</v>
      </c>
      <c r="D279" s="4">
        <f t="shared" ref="D279:E279" si="276">AVERAGE(B279:B281)</f>
        <v>9.0666666666666682</v>
      </c>
      <c r="E279" s="4">
        <f t="shared" si="276"/>
        <v>6.2</v>
      </c>
    </row>
    <row r="280" spans="1:5" ht="15" x14ac:dyDescent="0.25">
      <c r="A280" s="7" t="s">
        <v>428</v>
      </c>
      <c r="B280" s="8">
        <v>9.07</v>
      </c>
      <c r="C280" s="10">
        <v>6.13</v>
      </c>
      <c r="D280" s="4">
        <f t="shared" ref="D280:E280" si="277">AVERAGE(B280:B282)</f>
        <v>9.086666666666666</v>
      </c>
      <c r="E280" s="4">
        <f t="shared" si="277"/>
        <v>6.45</v>
      </c>
    </row>
    <row r="281" spans="1:5" ht="15" x14ac:dyDescent="0.25">
      <c r="A281" s="7" t="s">
        <v>94</v>
      </c>
      <c r="B281" s="8">
        <v>9.08</v>
      </c>
      <c r="C281" s="10">
        <v>6.37</v>
      </c>
      <c r="D281" s="4">
        <f t="shared" ref="D281:E281" si="278">AVERAGE(B281:B283)</f>
        <v>9.1</v>
      </c>
      <c r="E281" s="4">
        <f t="shared" si="278"/>
        <v>6.6499999999999995</v>
      </c>
    </row>
    <row r="282" spans="1:5" ht="15" x14ac:dyDescent="0.25">
      <c r="A282" s="7" t="s">
        <v>429</v>
      </c>
      <c r="B282" s="8">
        <v>9.11</v>
      </c>
      <c r="C282" s="10">
        <v>6.85</v>
      </c>
      <c r="D282" s="4">
        <f t="shared" ref="D282:E282" si="279">AVERAGE(B282:B284)</f>
        <v>9.1133333333333315</v>
      </c>
      <c r="E282" s="4">
        <f t="shared" si="279"/>
        <v>6.72</v>
      </c>
    </row>
    <row r="283" spans="1:5" ht="15" x14ac:dyDescent="0.25">
      <c r="A283" s="7" t="s">
        <v>430</v>
      </c>
      <c r="B283" s="8">
        <v>9.11</v>
      </c>
      <c r="C283" s="10">
        <v>6.73</v>
      </c>
      <c r="D283" s="4">
        <f t="shared" ref="D283:E283" si="280">AVERAGE(B283:B285)</f>
        <v>9.1366666666666649</v>
      </c>
      <c r="E283" s="4">
        <f t="shared" si="280"/>
        <v>6.68</v>
      </c>
    </row>
    <row r="284" spans="1:5" ht="15" x14ac:dyDescent="0.25">
      <c r="A284" s="7" t="s">
        <v>95</v>
      </c>
      <c r="B284" s="8">
        <v>9.1199999999999992</v>
      </c>
      <c r="C284" s="10">
        <v>6.58</v>
      </c>
      <c r="D284" s="4">
        <f t="shared" ref="D284:E284" si="281">AVERAGE(B284:B286)</f>
        <v>9.1633333333333322</v>
      </c>
      <c r="E284" s="4">
        <f t="shared" si="281"/>
        <v>6.8433333333333337</v>
      </c>
    </row>
    <row r="285" spans="1:5" ht="15" x14ac:dyDescent="0.25">
      <c r="A285" s="7" t="s">
        <v>431</v>
      </c>
      <c r="B285" s="8">
        <v>9.18</v>
      </c>
      <c r="C285" s="10">
        <v>6.73</v>
      </c>
      <c r="D285" s="4">
        <f t="shared" ref="D285:E285" si="282">AVERAGE(B285:B287)</f>
        <v>9.1966666666666654</v>
      </c>
      <c r="E285" s="4">
        <f t="shared" si="282"/>
        <v>7.0799999999999992</v>
      </c>
    </row>
    <row r="286" spans="1:5" ht="15" x14ac:dyDescent="0.25">
      <c r="A286" s="7" t="s">
        <v>432</v>
      </c>
      <c r="B286" s="8">
        <v>9.19</v>
      </c>
      <c r="C286" s="10">
        <v>7.22</v>
      </c>
      <c r="D286" s="4">
        <f t="shared" ref="D286:E286" si="283">AVERAGE(B286:B288)</f>
        <v>9.2266666666666666</v>
      </c>
      <c r="E286" s="4">
        <f t="shared" si="283"/>
        <v>7.0666666666666664</v>
      </c>
    </row>
    <row r="287" spans="1:5" ht="15" x14ac:dyDescent="0.25">
      <c r="A287" s="7" t="s">
        <v>96</v>
      </c>
      <c r="B287" s="8">
        <v>9.2200000000000006</v>
      </c>
      <c r="C287" s="10">
        <v>7.29</v>
      </c>
      <c r="D287" s="4">
        <f t="shared" ref="D287:E287" si="284">AVERAGE(B287:B289)</f>
        <v>9.2566666666666677</v>
      </c>
      <c r="E287" s="4">
        <f t="shared" si="284"/>
        <v>6.916666666666667</v>
      </c>
    </row>
    <row r="288" spans="1:5" ht="15" x14ac:dyDescent="0.25">
      <c r="A288" s="7" t="s">
        <v>433</v>
      </c>
      <c r="B288" s="8">
        <v>9.27</v>
      </c>
      <c r="C288" s="10">
        <v>6.69</v>
      </c>
      <c r="D288" s="4">
        <f t="shared" ref="D288:E288" si="285">AVERAGE(B288:B290)</f>
        <v>9.2799999999999994</v>
      </c>
      <c r="E288" s="4">
        <f t="shared" si="285"/>
        <v>6.7633333333333328</v>
      </c>
    </row>
    <row r="289" spans="1:5" ht="15" x14ac:dyDescent="0.25">
      <c r="A289" s="7" t="s">
        <v>434</v>
      </c>
      <c r="B289" s="8">
        <v>9.2799999999999994</v>
      </c>
      <c r="C289" s="10">
        <v>6.77</v>
      </c>
      <c r="D289" s="4">
        <f t="shared" ref="D289:E289" si="286">AVERAGE(B289:B291)</f>
        <v>9.2866666666666671</v>
      </c>
      <c r="E289" s="4">
        <f t="shared" si="286"/>
        <v>6.7266666666666666</v>
      </c>
    </row>
    <row r="290" spans="1:5" ht="15" x14ac:dyDescent="0.25">
      <c r="A290" s="7" t="s">
        <v>97</v>
      </c>
      <c r="B290" s="8">
        <v>9.2899999999999991</v>
      </c>
      <c r="C290" s="10">
        <v>6.83</v>
      </c>
      <c r="D290" s="4">
        <f t="shared" ref="D290:E290" si="287">AVERAGE(B290:B292)</f>
        <v>9.2966666666666669</v>
      </c>
      <c r="E290" s="4">
        <f t="shared" si="287"/>
        <v>6.663333333333334</v>
      </c>
    </row>
    <row r="291" spans="1:5" ht="15" x14ac:dyDescent="0.25">
      <c r="A291" s="7" t="s">
        <v>435</v>
      </c>
      <c r="B291" s="8">
        <v>9.2899999999999991</v>
      </c>
      <c r="C291" s="10">
        <v>6.58</v>
      </c>
      <c r="D291" s="4">
        <f t="shared" ref="D291:E291" si="288">AVERAGE(B291:B293)</f>
        <v>9.32</v>
      </c>
      <c r="E291" s="4">
        <f t="shared" si="288"/>
        <v>6.6766666666666667</v>
      </c>
    </row>
    <row r="292" spans="1:5" ht="15" x14ac:dyDescent="0.25">
      <c r="A292" s="7" t="s">
        <v>436</v>
      </c>
      <c r="B292" s="8">
        <v>9.31</v>
      </c>
      <c r="C292" s="10">
        <v>6.58</v>
      </c>
      <c r="D292" s="4">
        <f t="shared" ref="D292:E292" si="289">AVERAGE(B292:B294)</f>
        <v>9.3600000000000012</v>
      </c>
      <c r="E292" s="4">
        <f t="shared" si="289"/>
        <v>6.8466666666666667</v>
      </c>
    </row>
    <row r="293" spans="1:5" ht="15" x14ac:dyDescent="0.25">
      <c r="A293" s="7" t="s">
        <v>98</v>
      </c>
      <c r="B293" s="8">
        <v>9.36</v>
      </c>
      <c r="C293" s="10">
        <v>6.87</v>
      </c>
      <c r="D293" s="4">
        <f t="shared" ref="D293:E293" si="290">AVERAGE(B293:B295)</f>
        <v>9.3933333333333326</v>
      </c>
      <c r="E293" s="4">
        <f t="shared" si="290"/>
        <v>7.1566666666666663</v>
      </c>
    </row>
    <row r="294" spans="1:5" ht="15" x14ac:dyDescent="0.25">
      <c r="A294" s="7" t="s">
        <v>437</v>
      </c>
      <c r="B294" s="8">
        <v>9.41</v>
      </c>
      <c r="C294" s="10">
        <v>7.09</v>
      </c>
      <c r="D294" s="4">
        <f t="shared" ref="D294:E294" si="291">AVERAGE(B294:B296)</f>
        <v>9.4233333333333338</v>
      </c>
      <c r="E294" s="4">
        <f t="shared" si="291"/>
        <v>7.45</v>
      </c>
    </row>
    <row r="295" spans="1:5" ht="15" x14ac:dyDescent="0.25">
      <c r="A295" s="7" t="s">
        <v>438</v>
      </c>
      <c r="B295" s="8">
        <v>9.41</v>
      </c>
      <c r="C295" s="10">
        <v>7.51</v>
      </c>
      <c r="D295" s="4">
        <f t="shared" ref="D295:E295" si="292">AVERAGE(B295:B297)</f>
        <v>9.44</v>
      </c>
      <c r="E295" s="4">
        <f t="shared" si="292"/>
        <v>7.7566666666666668</v>
      </c>
    </row>
    <row r="296" spans="1:5" ht="15" x14ac:dyDescent="0.25">
      <c r="A296" s="7" t="s">
        <v>99</v>
      </c>
      <c r="B296" s="8">
        <v>9.4499999999999993</v>
      </c>
      <c r="C296" s="10">
        <v>7.75</v>
      </c>
      <c r="D296" s="4">
        <f t="shared" ref="D296:E296" si="293">AVERAGE(B296:B298)</f>
        <v>9.4733333333333345</v>
      </c>
      <c r="E296" s="4">
        <f t="shared" si="293"/>
        <v>7.9833333333333334</v>
      </c>
    </row>
    <row r="297" spans="1:5" ht="15" x14ac:dyDescent="0.25">
      <c r="A297" s="7" t="s">
        <v>439</v>
      </c>
      <c r="B297" s="8">
        <v>9.4600000000000009</v>
      </c>
      <c r="C297" s="10">
        <v>8.01</v>
      </c>
      <c r="D297" s="4">
        <f t="shared" ref="D297:E297" si="294">AVERAGE(B297:B299)</f>
        <v>9.51</v>
      </c>
      <c r="E297" s="4">
        <f t="shared" si="294"/>
        <v>8.1666666666666661</v>
      </c>
    </row>
    <row r="298" spans="1:5" ht="15" x14ac:dyDescent="0.25">
      <c r="A298" s="7" t="s">
        <v>440</v>
      </c>
      <c r="B298" s="8">
        <v>9.51</v>
      </c>
      <c r="C298" s="10">
        <v>8.19</v>
      </c>
      <c r="D298" s="4">
        <f t="shared" ref="D298:E298" si="295">AVERAGE(B298:B300)</f>
        <v>9.5499999999999989</v>
      </c>
      <c r="E298" s="4">
        <f t="shared" si="295"/>
        <v>8.2800000000000011</v>
      </c>
    </row>
    <row r="299" spans="1:5" ht="15" x14ac:dyDescent="0.25">
      <c r="A299" s="7" t="s">
        <v>100</v>
      </c>
      <c r="B299" s="8">
        <v>9.56</v>
      </c>
      <c r="C299" s="10">
        <v>8.3000000000000007</v>
      </c>
      <c r="D299" s="4">
        <f t="shared" ref="D299:E299" si="296">AVERAGE(B299:B301)</f>
        <v>9.58</v>
      </c>
      <c r="E299" s="4">
        <f t="shared" si="296"/>
        <v>8.4699999999999989</v>
      </c>
    </row>
    <row r="300" spans="1:5" ht="15" x14ac:dyDescent="0.25">
      <c r="A300" s="7" t="s">
        <v>441</v>
      </c>
      <c r="B300" s="8">
        <v>9.58</v>
      </c>
      <c r="C300" s="10">
        <v>8.35</v>
      </c>
      <c r="D300" s="4">
        <f t="shared" ref="D300:E300" si="297">AVERAGE(B300:B302)</f>
        <v>9.61</v>
      </c>
      <c r="E300" s="4">
        <f t="shared" si="297"/>
        <v>8.7433333333333323</v>
      </c>
    </row>
    <row r="301" spans="1:5" ht="15" x14ac:dyDescent="0.25">
      <c r="A301" s="7" t="s">
        <v>442</v>
      </c>
      <c r="B301" s="8">
        <v>9.6</v>
      </c>
      <c r="C301" s="10">
        <v>8.76</v>
      </c>
      <c r="D301" s="4">
        <f t="shared" ref="D301:E301" si="298">AVERAGE(B301:B303)</f>
        <v>9.6433333333333326</v>
      </c>
      <c r="E301" s="4">
        <f t="shared" si="298"/>
        <v>9.08</v>
      </c>
    </row>
    <row r="302" spans="1:5" ht="15" x14ac:dyDescent="0.25">
      <c r="A302" s="7" t="s">
        <v>101</v>
      </c>
      <c r="B302" s="8">
        <v>9.65</v>
      </c>
      <c r="C302" s="10">
        <v>9.1199999999999992</v>
      </c>
      <c r="D302" s="4">
        <f t="shared" ref="D302:E302" si="299">AVERAGE(B302:B304)</f>
        <v>9.6766666666666659</v>
      </c>
      <c r="E302" s="4">
        <f t="shared" si="299"/>
        <v>9.4433333333333334</v>
      </c>
    </row>
    <row r="303" spans="1:5" ht="15" x14ac:dyDescent="0.25">
      <c r="A303" s="7" t="s">
        <v>443</v>
      </c>
      <c r="B303" s="8">
        <v>9.68</v>
      </c>
      <c r="C303" s="10">
        <v>9.36</v>
      </c>
      <c r="D303" s="4">
        <f t="shared" ref="D303:E303" si="300">AVERAGE(B303:B305)</f>
        <v>9.7099999999999991</v>
      </c>
      <c r="E303" s="4">
        <f t="shared" si="300"/>
        <v>9.6833333333333336</v>
      </c>
    </row>
    <row r="304" spans="1:5" ht="15" x14ac:dyDescent="0.25">
      <c r="A304" s="7" t="s">
        <v>444</v>
      </c>
      <c r="B304" s="8">
        <v>9.6999999999999993</v>
      </c>
      <c r="C304" s="10">
        <v>9.85</v>
      </c>
      <c r="D304" s="4">
        <f t="shared" ref="D304:E304" si="301">AVERAGE(B304:B306)</f>
        <v>9.7299999999999986</v>
      </c>
      <c r="E304" s="4">
        <f t="shared" si="301"/>
        <v>9.8333333333333339</v>
      </c>
    </row>
    <row r="305" spans="1:5" ht="15" x14ac:dyDescent="0.25">
      <c r="A305" s="7" t="s">
        <v>102</v>
      </c>
      <c r="B305" s="8">
        <v>9.75</v>
      </c>
      <c r="C305" s="10">
        <v>9.84</v>
      </c>
      <c r="D305" s="4">
        <f t="shared" ref="D305:E305" si="302">AVERAGE(B305:B307)</f>
        <v>9.7533333333333339</v>
      </c>
      <c r="E305" s="4">
        <f t="shared" si="302"/>
        <v>9.7266666666666666</v>
      </c>
    </row>
    <row r="306" spans="1:5" ht="15" x14ac:dyDescent="0.25">
      <c r="A306" s="7" t="s">
        <v>445</v>
      </c>
      <c r="B306" s="8">
        <v>9.74</v>
      </c>
      <c r="C306" s="10">
        <v>9.81</v>
      </c>
      <c r="D306" s="4">
        <f t="shared" ref="D306:E306" si="303">AVERAGE(B306:B308)</f>
        <v>9.7799999999999994</v>
      </c>
      <c r="E306" s="4">
        <f t="shared" si="303"/>
        <v>9.5266666666666655</v>
      </c>
    </row>
    <row r="307" spans="1:5" ht="15" x14ac:dyDescent="0.25">
      <c r="A307" s="7" t="s">
        <v>446</v>
      </c>
      <c r="B307" s="8">
        <v>9.77</v>
      </c>
      <c r="C307" s="10">
        <v>9.5299999999999994</v>
      </c>
      <c r="D307" s="4">
        <f t="shared" ref="D307:E307" si="304">AVERAGE(B307:B309)</f>
        <v>9.81</v>
      </c>
      <c r="E307" s="4">
        <f t="shared" si="304"/>
        <v>9.2533333333333321</v>
      </c>
    </row>
    <row r="308" spans="1:5" ht="15" x14ac:dyDescent="0.25">
      <c r="A308" s="7" t="s">
        <v>103</v>
      </c>
      <c r="B308" s="8">
        <v>9.83</v>
      </c>
      <c r="C308" s="10">
        <v>9.24</v>
      </c>
      <c r="D308" s="4">
        <f t="shared" ref="D308:E308" si="305">AVERAGE(B308:B310)</f>
        <v>9.8433333333333337</v>
      </c>
      <c r="E308" s="4">
        <f t="shared" si="305"/>
        <v>9.0833333333333339</v>
      </c>
    </row>
    <row r="309" spans="1:5" ht="15" x14ac:dyDescent="0.25">
      <c r="A309" s="7" t="s">
        <v>447</v>
      </c>
      <c r="B309" s="8">
        <v>9.83</v>
      </c>
      <c r="C309" s="10">
        <v>8.99</v>
      </c>
      <c r="D309" s="4">
        <f t="shared" ref="D309:E309" si="306">AVERAGE(B309:B311)</f>
        <v>9.8733333333333331</v>
      </c>
      <c r="E309" s="4">
        <f t="shared" si="306"/>
        <v>8.9499999999999993</v>
      </c>
    </row>
    <row r="310" spans="1:5" ht="15" x14ac:dyDescent="0.25">
      <c r="A310" s="7" t="s">
        <v>448</v>
      </c>
      <c r="B310" s="8">
        <v>9.8699999999999992</v>
      </c>
      <c r="C310" s="10">
        <v>9.02</v>
      </c>
      <c r="D310" s="4">
        <f t="shared" ref="D310:E310" si="307">AVERAGE(B310:B312)</f>
        <v>9.9066666666666663</v>
      </c>
      <c r="E310" s="4">
        <f t="shared" si="307"/>
        <v>8.8033333333333328</v>
      </c>
    </row>
    <row r="311" spans="1:5" ht="15" x14ac:dyDescent="0.25">
      <c r="A311" s="7" t="s">
        <v>104</v>
      </c>
      <c r="B311" s="8">
        <v>9.92</v>
      </c>
      <c r="C311" s="10">
        <v>8.84</v>
      </c>
      <c r="D311" s="4">
        <f t="shared" ref="D311:E311" si="308">AVERAGE(B311:B313)</f>
        <v>9.9433333333333334</v>
      </c>
      <c r="E311" s="4">
        <f t="shared" si="308"/>
        <v>8.6133333333333333</v>
      </c>
    </row>
    <row r="312" spans="1:5" ht="15" x14ac:dyDescent="0.25">
      <c r="A312" s="7" t="s">
        <v>449</v>
      </c>
      <c r="B312" s="8">
        <v>9.93</v>
      </c>
      <c r="C312" s="10">
        <v>8.5500000000000007</v>
      </c>
      <c r="D312" s="4">
        <f t="shared" ref="D312:E312" si="309">AVERAGE(B312:B314)</f>
        <v>9.9766666666666666</v>
      </c>
      <c r="E312" s="4">
        <f t="shared" si="309"/>
        <v>8.41</v>
      </c>
    </row>
    <row r="313" spans="1:5" ht="15" x14ac:dyDescent="0.25">
      <c r="A313" s="7" t="s">
        <v>450</v>
      </c>
      <c r="B313" s="8">
        <v>9.98</v>
      </c>
      <c r="C313" s="10">
        <v>8.4499999999999993</v>
      </c>
      <c r="D313" s="4">
        <f t="shared" ref="D313:E313" si="310">AVERAGE(B313:B315)</f>
        <v>10.023333333333333</v>
      </c>
      <c r="E313" s="4">
        <f t="shared" si="310"/>
        <v>8.3066666666666666</v>
      </c>
    </row>
    <row r="314" spans="1:5" ht="15" x14ac:dyDescent="0.25">
      <c r="A314" s="7" t="s">
        <v>105</v>
      </c>
      <c r="B314" s="8">
        <v>10.02</v>
      </c>
      <c r="C314" s="10">
        <v>8.23</v>
      </c>
      <c r="D314" s="4">
        <f t="shared" ref="D314:E314" si="311">AVERAGE(B314:B316)</f>
        <v>10.066666666666666</v>
      </c>
      <c r="E314" s="4">
        <f t="shared" si="311"/>
        <v>8.25</v>
      </c>
    </row>
    <row r="315" spans="1:5" ht="15" x14ac:dyDescent="0.25">
      <c r="A315" s="7" t="s">
        <v>451</v>
      </c>
      <c r="B315" s="8">
        <v>10.07</v>
      </c>
      <c r="C315" s="10">
        <v>8.24</v>
      </c>
      <c r="D315" s="4">
        <f t="shared" ref="D315:E315" si="312">AVERAGE(B315:B317)</f>
        <v>10.1</v>
      </c>
      <c r="E315" s="4">
        <f t="shared" si="312"/>
        <v>8.26</v>
      </c>
    </row>
    <row r="316" spans="1:5" ht="15" x14ac:dyDescent="0.25">
      <c r="A316" s="7" t="s">
        <v>452</v>
      </c>
      <c r="B316" s="8">
        <v>10.11</v>
      </c>
      <c r="C316" s="10">
        <v>8.2799999999999994</v>
      </c>
      <c r="D316" s="4">
        <f t="shared" ref="D316:E316" si="313">AVERAGE(B316:B318)</f>
        <v>10.129999999999999</v>
      </c>
      <c r="E316" s="4">
        <f t="shared" si="313"/>
        <v>8.24</v>
      </c>
    </row>
    <row r="317" spans="1:5" ht="15" x14ac:dyDescent="0.25">
      <c r="A317" s="7" t="s">
        <v>106</v>
      </c>
      <c r="B317" s="8">
        <v>10.119999999999999</v>
      </c>
      <c r="C317" s="10">
        <v>8.26</v>
      </c>
      <c r="D317" s="4">
        <f t="shared" ref="D317:E317" si="314">AVERAGE(B317:B319)</f>
        <v>10.16</v>
      </c>
      <c r="E317" s="4">
        <f t="shared" si="314"/>
        <v>8.2433333333333323</v>
      </c>
    </row>
    <row r="318" spans="1:5" ht="15" x14ac:dyDescent="0.25">
      <c r="A318" s="7" t="s">
        <v>453</v>
      </c>
      <c r="B318" s="8">
        <v>10.16</v>
      </c>
      <c r="C318" s="10">
        <v>8.18</v>
      </c>
      <c r="D318" s="4">
        <f t="shared" ref="D318:E318" si="315">AVERAGE(B318:B320)</f>
        <v>10.193333333333333</v>
      </c>
      <c r="E318" s="4">
        <f t="shared" si="315"/>
        <v>8.2066666666666652</v>
      </c>
    </row>
    <row r="319" spans="1:5" ht="15" x14ac:dyDescent="0.25">
      <c r="A319" s="7" t="s">
        <v>454</v>
      </c>
      <c r="B319" s="8">
        <v>10.199999999999999</v>
      </c>
      <c r="C319" s="10">
        <v>8.2899999999999991</v>
      </c>
      <c r="D319" s="4">
        <f t="shared" ref="D319:E319" si="316">AVERAGE(B319:B321)</f>
        <v>10.220000000000001</v>
      </c>
      <c r="E319" s="4">
        <f t="shared" si="316"/>
        <v>8.19</v>
      </c>
    </row>
    <row r="320" spans="1:5" ht="15" x14ac:dyDescent="0.25">
      <c r="A320" s="7" t="s">
        <v>107</v>
      </c>
      <c r="B320" s="8">
        <v>10.220000000000001</v>
      </c>
      <c r="C320" s="10">
        <v>8.15</v>
      </c>
      <c r="D320" s="4">
        <f t="shared" ref="D320:E320" si="317">AVERAGE(B320:B322)</f>
        <v>10.246666666666668</v>
      </c>
      <c r="E320" s="4">
        <f t="shared" si="317"/>
        <v>8.16</v>
      </c>
    </row>
    <row r="321" spans="1:5" ht="15" x14ac:dyDescent="0.25">
      <c r="A321" s="7" t="s">
        <v>455</v>
      </c>
      <c r="B321" s="8">
        <v>10.24</v>
      </c>
      <c r="C321" s="10">
        <v>8.1300000000000008</v>
      </c>
      <c r="D321" s="4">
        <f t="shared" ref="D321:E321" si="318">AVERAGE(B321:B323)</f>
        <v>10.273333333333333</v>
      </c>
      <c r="E321" s="4">
        <f t="shared" si="318"/>
        <v>8.1466666666666665</v>
      </c>
    </row>
    <row r="322" spans="1:5" ht="15" x14ac:dyDescent="0.25">
      <c r="A322" s="7" t="s">
        <v>456</v>
      </c>
      <c r="B322" s="8">
        <v>10.28</v>
      </c>
      <c r="C322" s="10">
        <v>8.1999999999999993</v>
      </c>
      <c r="D322" s="4">
        <f t="shared" ref="D322:E322" si="319">AVERAGE(B322:B324)</f>
        <v>10.299999999999999</v>
      </c>
      <c r="E322" s="4">
        <f t="shared" si="319"/>
        <v>8.0399999999999991</v>
      </c>
    </row>
    <row r="323" spans="1:5" ht="15" x14ac:dyDescent="0.25">
      <c r="A323" s="7" t="s">
        <v>108</v>
      </c>
      <c r="B323" s="8">
        <v>10.3</v>
      </c>
      <c r="C323" s="10">
        <v>8.11</v>
      </c>
      <c r="D323" s="4">
        <f t="shared" ref="D323:E323" si="320">AVERAGE(B323:B325)</f>
        <v>10.32</v>
      </c>
      <c r="E323" s="4">
        <f t="shared" si="320"/>
        <v>7.7433333333333323</v>
      </c>
    </row>
    <row r="324" spans="1:5" ht="15" x14ac:dyDescent="0.25">
      <c r="A324" s="7" t="s">
        <v>457</v>
      </c>
      <c r="B324" s="8">
        <v>10.32</v>
      </c>
      <c r="C324" s="10">
        <v>7.81</v>
      </c>
      <c r="D324" s="4">
        <f t="shared" ref="D324:E324" si="321">AVERAGE(B324:B326)</f>
        <v>10.343333333333334</v>
      </c>
      <c r="E324" s="4">
        <f t="shared" si="321"/>
        <v>7.3433333333333337</v>
      </c>
    </row>
    <row r="325" spans="1:5" ht="15" x14ac:dyDescent="0.25">
      <c r="A325" s="7" t="s">
        <v>458</v>
      </c>
      <c r="B325" s="8">
        <v>10.34</v>
      </c>
      <c r="C325" s="10">
        <v>7.31</v>
      </c>
      <c r="D325" s="4">
        <f t="shared" ref="D325:E325" si="322">AVERAGE(B325:B327)</f>
        <v>10.366666666666667</v>
      </c>
      <c r="E325" s="4">
        <f t="shared" si="322"/>
        <v>6.8233333333333333</v>
      </c>
    </row>
    <row r="326" spans="1:5" ht="15" x14ac:dyDescent="0.25">
      <c r="A326" s="7" t="s">
        <v>109</v>
      </c>
      <c r="B326" s="8">
        <v>10.37</v>
      </c>
      <c r="C326" s="10">
        <v>6.91</v>
      </c>
      <c r="D326" s="4">
        <f t="shared" ref="D326:E326" si="323">AVERAGE(B326:B328)</f>
        <v>10.389999999999999</v>
      </c>
      <c r="E326" s="4">
        <f t="shared" si="323"/>
        <v>6.4266666666666667</v>
      </c>
    </row>
    <row r="327" spans="1:5" ht="15" x14ac:dyDescent="0.25">
      <c r="A327" s="7" t="s">
        <v>459</v>
      </c>
      <c r="B327" s="8">
        <v>10.39</v>
      </c>
      <c r="C327" s="10">
        <v>6.25</v>
      </c>
      <c r="D327" s="4">
        <f t="shared" ref="D327:E327" si="324">AVERAGE(B327:B329)</f>
        <v>10.42</v>
      </c>
      <c r="E327" s="4">
        <f t="shared" si="324"/>
        <v>6.0933333333333337</v>
      </c>
    </row>
    <row r="328" spans="1:5" ht="15" x14ac:dyDescent="0.25">
      <c r="A328" s="7" t="s">
        <v>460</v>
      </c>
      <c r="B328" s="8">
        <v>10.41</v>
      </c>
      <c r="C328" s="10">
        <v>6.12</v>
      </c>
      <c r="D328" s="4">
        <f t="shared" ref="D328:E328" si="325">AVERAGE(B328:B330)</f>
        <v>10.453333333333333</v>
      </c>
      <c r="E328" s="4">
        <f t="shared" si="325"/>
        <v>5.9366666666666674</v>
      </c>
    </row>
    <row r="329" spans="1:5" ht="15" x14ac:dyDescent="0.25">
      <c r="A329" s="7" t="s">
        <v>110</v>
      </c>
      <c r="B329" s="8">
        <v>10.46</v>
      </c>
      <c r="C329" s="10">
        <v>5.91</v>
      </c>
      <c r="D329" s="4">
        <f t="shared" ref="D329:E329" si="326">AVERAGE(B329:B331)</f>
        <v>10.486666666666666</v>
      </c>
      <c r="E329" s="4">
        <f t="shared" si="326"/>
        <v>5.8633333333333342</v>
      </c>
    </row>
    <row r="330" spans="1:5" ht="15" x14ac:dyDescent="0.25">
      <c r="A330" s="7" t="s">
        <v>461</v>
      </c>
      <c r="B330" s="8">
        <v>10.49</v>
      </c>
      <c r="C330" s="10">
        <v>5.78</v>
      </c>
      <c r="D330" s="4">
        <f t="shared" ref="D330:E330" si="327">AVERAGE(B330:B332)</f>
        <v>10.513333333333334</v>
      </c>
      <c r="E330" s="4">
        <f t="shared" si="327"/>
        <v>5.833333333333333</v>
      </c>
    </row>
    <row r="331" spans="1:5" ht="15" x14ac:dyDescent="0.25">
      <c r="A331" s="7" t="s">
        <v>462</v>
      </c>
      <c r="B331" s="8">
        <v>10.51</v>
      </c>
      <c r="C331" s="10">
        <v>5.9</v>
      </c>
      <c r="D331" s="4">
        <f t="shared" ref="D331:E331" si="328">AVERAGE(B331:B333)</f>
        <v>10.536666666666667</v>
      </c>
      <c r="E331" s="4">
        <f t="shared" si="328"/>
        <v>5.7933333333333339</v>
      </c>
    </row>
    <row r="332" spans="1:5" ht="15" x14ac:dyDescent="0.25">
      <c r="A332" s="7" t="s">
        <v>111</v>
      </c>
      <c r="B332" s="8">
        <v>10.54</v>
      </c>
      <c r="C332" s="10">
        <v>5.82</v>
      </c>
      <c r="D332" s="4">
        <f t="shared" ref="D332:E332" si="329">AVERAGE(B332:B334)</f>
        <v>10.56</v>
      </c>
      <c r="E332" s="4">
        <f t="shared" si="329"/>
        <v>5.6433333333333335</v>
      </c>
    </row>
    <row r="333" spans="1:5" ht="15" x14ac:dyDescent="0.25">
      <c r="A333" s="7" t="s">
        <v>463</v>
      </c>
      <c r="B333" s="8">
        <v>10.56</v>
      </c>
      <c r="C333" s="10">
        <v>5.66</v>
      </c>
      <c r="D333" s="4">
        <f t="shared" ref="D333:E333" si="330">AVERAGE(B333:B335)</f>
        <v>10.576666666666666</v>
      </c>
      <c r="E333" s="4">
        <f t="shared" si="330"/>
        <v>5.44</v>
      </c>
    </row>
    <row r="334" spans="1:5" ht="15" x14ac:dyDescent="0.25">
      <c r="A334" s="7" t="s">
        <v>464</v>
      </c>
      <c r="B334" s="8">
        <v>10.58</v>
      </c>
      <c r="C334" s="10">
        <v>5.45</v>
      </c>
      <c r="D334" s="4">
        <f t="shared" ref="D334:E334" si="331">AVERAGE(B334:B336)</f>
        <v>10.593333333333334</v>
      </c>
      <c r="E334" s="4">
        <f t="shared" si="331"/>
        <v>5.1566666666666663</v>
      </c>
    </row>
    <row r="335" spans="1:5" ht="15" x14ac:dyDescent="0.25">
      <c r="A335" s="7" t="s">
        <v>112</v>
      </c>
      <c r="B335" s="8">
        <v>10.59</v>
      </c>
      <c r="C335" s="10">
        <v>5.21</v>
      </c>
      <c r="D335" s="4">
        <f t="shared" ref="D335:E335" si="332">AVERAGE(B335:B337)</f>
        <v>10.613333333333333</v>
      </c>
      <c r="E335" s="4">
        <f t="shared" si="332"/>
        <v>4.8166666666666664</v>
      </c>
    </row>
    <row r="336" spans="1:5" ht="15" x14ac:dyDescent="0.25">
      <c r="A336" s="7" t="s">
        <v>465</v>
      </c>
      <c r="B336" s="8">
        <v>10.61</v>
      </c>
      <c r="C336" s="10">
        <v>4.8099999999999996</v>
      </c>
      <c r="D336" s="4">
        <f t="shared" ref="D336:E336" si="333">AVERAGE(B336:B338)</f>
        <v>10.633333333333333</v>
      </c>
      <c r="E336" s="4">
        <f t="shared" si="333"/>
        <v>4.4233333333333329</v>
      </c>
    </row>
    <row r="337" spans="1:5" ht="15" x14ac:dyDescent="0.25">
      <c r="A337" s="7" t="s">
        <v>466</v>
      </c>
      <c r="B337" s="8">
        <v>10.64</v>
      </c>
      <c r="C337" s="10">
        <v>4.43</v>
      </c>
      <c r="D337" s="4">
        <f t="shared" ref="D337:E337" si="334">AVERAGE(B337:B339)</f>
        <v>10.653333333333334</v>
      </c>
      <c r="E337" s="4">
        <f t="shared" si="334"/>
        <v>4.1733333333333329</v>
      </c>
    </row>
    <row r="338" spans="1:5" ht="15" x14ac:dyDescent="0.25">
      <c r="A338" s="7" t="s">
        <v>113</v>
      </c>
      <c r="B338" s="8">
        <v>10.65</v>
      </c>
      <c r="C338" s="10">
        <v>4.03</v>
      </c>
      <c r="D338" s="4">
        <f t="shared" ref="D338:E338" si="335">AVERAGE(B338:B340)</f>
        <v>10.67</v>
      </c>
      <c r="E338" s="4">
        <f t="shared" si="335"/>
        <v>4.0233333333333334</v>
      </c>
    </row>
    <row r="339" spans="1:5" ht="15" x14ac:dyDescent="0.25">
      <c r="A339" s="7" t="s">
        <v>467</v>
      </c>
      <c r="B339" s="8">
        <v>10.67</v>
      </c>
      <c r="C339" s="10">
        <v>4.0599999999999996</v>
      </c>
      <c r="D339" s="4">
        <f t="shared" ref="D339:E339" si="336">AVERAGE(B339:B341)</f>
        <v>10.693333333333333</v>
      </c>
      <c r="E339" s="4">
        <f t="shared" si="336"/>
        <v>3.9233333333333333</v>
      </c>
    </row>
    <row r="340" spans="1:5" ht="15" x14ac:dyDescent="0.25">
      <c r="A340" s="7" t="s">
        <v>468</v>
      </c>
      <c r="B340" s="8">
        <v>10.69</v>
      </c>
      <c r="C340" s="10">
        <v>3.98</v>
      </c>
      <c r="D340" s="4">
        <f t="shared" ref="D340:E340" si="337">AVERAGE(B340:B342)</f>
        <v>10.716666666666667</v>
      </c>
      <c r="E340" s="4">
        <f t="shared" si="337"/>
        <v>3.8433333333333333</v>
      </c>
    </row>
    <row r="341" spans="1:5" ht="15" x14ac:dyDescent="0.25">
      <c r="A341" s="7" t="s">
        <v>114</v>
      </c>
      <c r="B341" s="8">
        <v>10.72</v>
      </c>
      <c r="C341" s="10">
        <v>3.73</v>
      </c>
      <c r="D341" s="4">
        <f t="shared" ref="D341:E341" si="338">AVERAGE(B341:B343)</f>
        <v>10.743333333333334</v>
      </c>
      <c r="E341" s="4">
        <f t="shared" si="338"/>
        <v>3.7699999999999996</v>
      </c>
    </row>
    <row r="342" spans="1:5" ht="15" x14ac:dyDescent="0.25">
      <c r="A342" s="7" t="s">
        <v>469</v>
      </c>
      <c r="B342" s="8">
        <v>10.74</v>
      </c>
      <c r="C342" s="10">
        <v>3.82</v>
      </c>
      <c r="D342" s="4">
        <f t="shared" ref="D342:E342" si="339">AVERAGE(B342:B344)</f>
        <v>10.763333333333334</v>
      </c>
      <c r="E342" s="4">
        <f t="shared" si="339"/>
        <v>3.61</v>
      </c>
    </row>
    <row r="343" spans="1:5" ht="15" x14ac:dyDescent="0.25">
      <c r="A343" s="7" t="s">
        <v>470</v>
      </c>
      <c r="B343" s="8">
        <v>10.77</v>
      </c>
      <c r="C343" s="10">
        <v>3.76</v>
      </c>
      <c r="D343" s="4">
        <f t="shared" ref="D343:E343" si="340">AVERAGE(B343:B345)</f>
        <v>10.786666666666667</v>
      </c>
      <c r="E343" s="4">
        <f t="shared" si="340"/>
        <v>3.4366666666666661</v>
      </c>
    </row>
    <row r="344" spans="1:5" ht="15" x14ac:dyDescent="0.25">
      <c r="A344" s="7" t="s">
        <v>115</v>
      </c>
      <c r="B344" s="8">
        <v>10.78</v>
      </c>
      <c r="C344" s="10">
        <v>3.25</v>
      </c>
      <c r="D344" s="4">
        <f t="shared" ref="D344:E344" si="341">AVERAGE(B344:B346)</f>
        <v>10.803333333333333</v>
      </c>
      <c r="E344" s="4">
        <f t="shared" si="341"/>
        <v>3.2566666666666664</v>
      </c>
    </row>
    <row r="345" spans="1:5" ht="15" x14ac:dyDescent="0.25">
      <c r="A345" s="7" t="s">
        <v>471</v>
      </c>
      <c r="B345" s="8">
        <v>10.81</v>
      </c>
      <c r="C345" s="10">
        <v>3.3</v>
      </c>
      <c r="D345" s="4">
        <f t="shared" ref="D345:E345" si="342">AVERAGE(B345:B347)</f>
        <v>10.826666666666668</v>
      </c>
      <c r="E345" s="4">
        <f t="shared" si="342"/>
        <v>3.2066666666666666</v>
      </c>
    </row>
    <row r="346" spans="1:5" ht="15" x14ac:dyDescent="0.25">
      <c r="A346" s="7" t="s">
        <v>472</v>
      </c>
      <c r="B346" s="8">
        <v>10.82</v>
      </c>
      <c r="C346" s="10">
        <v>3.22</v>
      </c>
      <c r="D346" s="4">
        <f t="shared" ref="D346:E346" si="343">AVERAGE(B346:B348)</f>
        <v>10.843333333333334</v>
      </c>
      <c r="E346" s="4">
        <f t="shared" si="343"/>
        <v>3.1366666666666667</v>
      </c>
    </row>
    <row r="347" spans="1:5" ht="15" x14ac:dyDescent="0.25">
      <c r="A347" s="7" t="s">
        <v>116</v>
      </c>
      <c r="B347" s="8">
        <v>10.85</v>
      </c>
      <c r="C347" s="10">
        <v>3.1</v>
      </c>
      <c r="D347" s="4">
        <f t="shared" ref="D347:E347" si="344">AVERAGE(B347:B349)</f>
        <v>10.87</v>
      </c>
      <c r="E347" s="4">
        <f t="shared" si="344"/>
        <v>3.0366666666666666</v>
      </c>
    </row>
    <row r="348" spans="1:5" ht="15" x14ac:dyDescent="0.25">
      <c r="A348" s="7" t="s">
        <v>473</v>
      </c>
      <c r="B348" s="8">
        <v>10.86</v>
      </c>
      <c r="C348" s="10">
        <v>3.09</v>
      </c>
      <c r="D348" s="4">
        <f t="shared" ref="D348:E348" si="345">AVERAGE(B348:B350)</f>
        <v>10.896666666666667</v>
      </c>
      <c r="E348" s="4">
        <f t="shared" si="345"/>
        <v>3.01</v>
      </c>
    </row>
    <row r="349" spans="1:5" ht="15" x14ac:dyDescent="0.25">
      <c r="A349" s="7" t="s">
        <v>474</v>
      </c>
      <c r="B349" s="8">
        <v>10.9</v>
      </c>
      <c r="C349" s="10">
        <v>2.92</v>
      </c>
      <c r="D349" s="4">
        <f t="shared" ref="D349:E349" si="346">AVERAGE(B349:B351)</f>
        <v>10.926666666666668</v>
      </c>
      <c r="E349" s="4">
        <f t="shared" si="346"/>
        <v>2.9899999999999998</v>
      </c>
    </row>
    <row r="350" spans="1:5" ht="15" x14ac:dyDescent="0.25">
      <c r="A350" s="7" t="s">
        <v>117</v>
      </c>
      <c r="B350" s="8">
        <v>10.93</v>
      </c>
      <c r="C350" s="10">
        <v>3.02</v>
      </c>
      <c r="D350" s="4">
        <f t="shared" ref="D350:E350" si="347">AVERAGE(B350:B352)</f>
        <v>10.956666666666665</v>
      </c>
      <c r="E350" s="4">
        <f t="shared" si="347"/>
        <v>3.0399999999999996</v>
      </c>
    </row>
    <row r="351" spans="1:5" ht="15" x14ac:dyDescent="0.25">
      <c r="A351" s="7" t="s">
        <v>475</v>
      </c>
      <c r="B351" s="8">
        <v>10.95</v>
      </c>
      <c r="C351" s="10">
        <v>3.03</v>
      </c>
      <c r="D351" s="4">
        <f t="shared" ref="D351:E351" si="348">AVERAGE(B351:B353)</f>
        <v>10.976666666666667</v>
      </c>
      <c r="E351" s="4">
        <f t="shared" si="348"/>
        <v>3.0199999999999996</v>
      </c>
    </row>
    <row r="352" spans="1:5" ht="15" x14ac:dyDescent="0.25">
      <c r="A352" s="7" t="s">
        <v>476</v>
      </c>
      <c r="B352" s="8">
        <v>10.99</v>
      </c>
      <c r="C352" s="10">
        <v>3.07</v>
      </c>
      <c r="D352" s="4">
        <f t="shared" ref="D352:E352" si="349">AVERAGE(B352:B354)</f>
        <v>10.996666666666668</v>
      </c>
      <c r="E352" s="4">
        <f t="shared" si="349"/>
        <v>3.01</v>
      </c>
    </row>
    <row r="353" spans="1:5" ht="15" x14ac:dyDescent="0.25">
      <c r="A353" s="7" t="s">
        <v>118</v>
      </c>
      <c r="B353" s="8">
        <v>10.99</v>
      </c>
      <c r="C353" s="10">
        <v>2.96</v>
      </c>
      <c r="D353" s="4">
        <f t="shared" ref="D353:E353" si="350">AVERAGE(B353:B355)</f>
        <v>11.01</v>
      </c>
      <c r="E353" s="4">
        <f t="shared" si="350"/>
        <v>3</v>
      </c>
    </row>
    <row r="354" spans="1:5" ht="15" x14ac:dyDescent="0.25">
      <c r="A354" s="7" t="s">
        <v>477</v>
      </c>
      <c r="B354" s="8">
        <v>11.01</v>
      </c>
      <c r="C354" s="10">
        <v>3</v>
      </c>
      <c r="D354" s="4">
        <f t="shared" ref="D354:E354" si="351">AVERAGE(B354:B356)</f>
        <v>11.030000000000001</v>
      </c>
      <c r="E354" s="4">
        <f t="shared" si="351"/>
        <v>3.0333333333333332</v>
      </c>
    </row>
    <row r="355" spans="1:5" ht="15" x14ac:dyDescent="0.25">
      <c r="A355" s="7" t="s">
        <v>478</v>
      </c>
      <c r="B355" s="8">
        <v>11.03</v>
      </c>
      <c r="C355" s="10">
        <v>3.04</v>
      </c>
      <c r="D355" s="4">
        <f t="shared" ref="D355:E355" si="352">AVERAGE(B355:B357)</f>
        <v>11.049999999999999</v>
      </c>
      <c r="E355" s="4">
        <f t="shared" si="352"/>
        <v>3.043333333333333</v>
      </c>
    </row>
    <row r="356" spans="1:5" ht="15" x14ac:dyDescent="0.25">
      <c r="A356" s="7" t="s">
        <v>119</v>
      </c>
      <c r="B356" s="8">
        <v>11.05</v>
      </c>
      <c r="C356" s="10">
        <v>3.06</v>
      </c>
      <c r="D356" s="4">
        <f t="shared" ref="D356:E356" si="353">AVERAGE(B356:B358)</f>
        <v>11.07</v>
      </c>
      <c r="E356" s="4">
        <f t="shared" si="353"/>
        <v>3.06</v>
      </c>
    </row>
    <row r="357" spans="1:5" ht="15" x14ac:dyDescent="0.25">
      <c r="A357" s="7" t="s">
        <v>479</v>
      </c>
      <c r="B357" s="8">
        <v>11.07</v>
      </c>
      <c r="C357" s="10">
        <v>3.03</v>
      </c>
      <c r="D357" s="4">
        <f t="shared" ref="D357:E357" si="354">AVERAGE(B357:B359)</f>
        <v>11.096666666666666</v>
      </c>
      <c r="E357" s="4">
        <f t="shared" si="354"/>
        <v>3.0366666666666666</v>
      </c>
    </row>
    <row r="358" spans="1:5" ht="15" x14ac:dyDescent="0.25">
      <c r="A358" s="7" t="s">
        <v>480</v>
      </c>
      <c r="B358" s="8">
        <v>11.09</v>
      </c>
      <c r="C358" s="10">
        <v>3.09</v>
      </c>
      <c r="D358" s="4">
        <f t="shared" ref="D358:E358" si="355">AVERAGE(B358:B360)</f>
        <v>11.123333333333333</v>
      </c>
      <c r="E358" s="4">
        <f t="shared" si="355"/>
        <v>3.0333333333333332</v>
      </c>
    </row>
    <row r="359" spans="1:5" ht="15" x14ac:dyDescent="0.25">
      <c r="A359" s="7" t="s">
        <v>120</v>
      </c>
      <c r="B359" s="8">
        <v>11.13</v>
      </c>
      <c r="C359" s="10">
        <v>2.99</v>
      </c>
      <c r="D359" s="4">
        <f t="shared" ref="D359:E359" si="356">AVERAGE(B359:B361)</f>
        <v>11.153333333333334</v>
      </c>
      <c r="E359" s="4">
        <f t="shared" si="356"/>
        <v>2.9899999999999998</v>
      </c>
    </row>
    <row r="360" spans="1:5" ht="15" x14ac:dyDescent="0.25">
      <c r="A360" s="7" t="s">
        <v>481</v>
      </c>
      <c r="B360" s="8">
        <v>11.15</v>
      </c>
      <c r="C360" s="10">
        <v>3.02</v>
      </c>
      <c r="D360" s="4">
        <f t="shared" ref="D360:E360" si="357">AVERAGE(B360:B362)</f>
        <v>11.176666666666668</v>
      </c>
      <c r="E360" s="4">
        <f t="shared" si="357"/>
        <v>3.0100000000000002</v>
      </c>
    </row>
    <row r="361" spans="1:5" ht="15" x14ac:dyDescent="0.25">
      <c r="A361" s="7" t="s">
        <v>482</v>
      </c>
      <c r="B361" s="8">
        <v>11.18</v>
      </c>
      <c r="C361" s="10">
        <v>2.96</v>
      </c>
      <c r="D361" s="4">
        <f t="shared" ref="D361:E361" si="358">AVERAGE(B361:B363)</f>
        <v>11.209999999999999</v>
      </c>
      <c r="E361" s="4">
        <f t="shared" si="358"/>
        <v>3.0866666666666664</v>
      </c>
    </row>
    <row r="362" spans="1:5" ht="15" x14ac:dyDescent="0.25">
      <c r="A362" s="7" t="s">
        <v>121</v>
      </c>
      <c r="B362" s="8">
        <v>11.2</v>
      </c>
      <c r="C362" s="10">
        <v>3.05</v>
      </c>
      <c r="D362" s="4">
        <f t="shared" ref="D362:E362" si="359">AVERAGE(B362:B364)</f>
        <v>11.233333333333334</v>
      </c>
      <c r="E362" s="4">
        <f t="shared" si="359"/>
        <v>3.2133333333333334</v>
      </c>
    </row>
    <row r="363" spans="1:5" ht="15" x14ac:dyDescent="0.25">
      <c r="A363" s="7" t="s">
        <v>483</v>
      </c>
      <c r="B363" s="8">
        <v>11.25</v>
      </c>
      <c r="C363" s="10">
        <v>3.25</v>
      </c>
      <c r="D363" s="4">
        <f t="shared" ref="D363:E363" si="360">AVERAGE(B363:B365)</f>
        <v>11.256666666666666</v>
      </c>
      <c r="E363" s="4">
        <f t="shared" si="360"/>
        <v>3.3833333333333333</v>
      </c>
    </row>
    <row r="364" spans="1:5" ht="15" x14ac:dyDescent="0.25">
      <c r="A364" s="7" t="s">
        <v>484</v>
      </c>
      <c r="B364" s="8">
        <v>11.25</v>
      </c>
      <c r="C364" s="10">
        <v>3.34</v>
      </c>
      <c r="D364" s="4">
        <f t="shared" ref="D364:E364" si="361">AVERAGE(B364:B366)</f>
        <v>11.270000000000001</v>
      </c>
      <c r="E364" s="4">
        <f t="shared" si="361"/>
        <v>3.6366666666666667</v>
      </c>
    </row>
    <row r="365" spans="1:5" ht="15" x14ac:dyDescent="0.25">
      <c r="A365" s="7" t="s">
        <v>122</v>
      </c>
      <c r="B365" s="8">
        <v>11.27</v>
      </c>
      <c r="C365" s="10">
        <v>3.56</v>
      </c>
      <c r="D365" s="4">
        <f t="shared" ref="D365:E365" si="362">AVERAGE(B365:B367)</f>
        <v>11.29</v>
      </c>
      <c r="E365" s="4">
        <f t="shared" si="362"/>
        <v>3.94</v>
      </c>
    </row>
    <row r="366" spans="1:5" ht="15" x14ac:dyDescent="0.25">
      <c r="A366" s="7" t="s">
        <v>485</v>
      </c>
      <c r="B366" s="8">
        <v>11.29</v>
      </c>
      <c r="C366" s="10">
        <v>4.01</v>
      </c>
      <c r="D366" s="4">
        <f t="shared" ref="D366:E366" si="363">AVERAGE(B366:B368)</f>
        <v>11.313333333333333</v>
      </c>
      <c r="E366" s="4">
        <f t="shared" si="363"/>
        <v>4.1733333333333329</v>
      </c>
    </row>
    <row r="367" spans="1:5" ht="15" x14ac:dyDescent="0.25">
      <c r="A367" s="7" t="s">
        <v>486</v>
      </c>
      <c r="B367" s="8">
        <v>11.31</v>
      </c>
      <c r="C367" s="10">
        <v>4.25</v>
      </c>
      <c r="D367" s="4">
        <f t="shared" ref="D367:E367" si="364">AVERAGE(B367:B369)</f>
        <v>11.336666666666666</v>
      </c>
      <c r="E367" s="4">
        <f t="shared" si="364"/>
        <v>4.3266666666666671</v>
      </c>
    </row>
    <row r="368" spans="1:5" ht="15" x14ac:dyDescent="0.25">
      <c r="A368" s="7" t="s">
        <v>123</v>
      </c>
      <c r="B368" s="8">
        <v>11.34</v>
      </c>
      <c r="C368" s="10">
        <v>4.26</v>
      </c>
      <c r="D368" s="4">
        <f t="shared" ref="D368:E368" si="365">AVERAGE(B368:B370)</f>
        <v>11.36</v>
      </c>
      <c r="E368" s="4">
        <f t="shared" si="365"/>
        <v>4.4866666666666672</v>
      </c>
    </row>
    <row r="369" spans="1:5" ht="15" x14ac:dyDescent="0.25">
      <c r="A369" s="7" t="s">
        <v>487</v>
      </c>
      <c r="B369" s="8">
        <v>11.36</v>
      </c>
      <c r="C369" s="10">
        <v>4.47</v>
      </c>
      <c r="D369" s="4">
        <f t="shared" ref="D369:E369" si="366">AVERAGE(B369:B371)</f>
        <v>11.386666666666668</v>
      </c>
      <c r="E369" s="4">
        <f t="shared" si="366"/>
        <v>4.6533333333333333</v>
      </c>
    </row>
    <row r="370" spans="1:5" ht="15" x14ac:dyDescent="0.25">
      <c r="A370" s="7" t="s">
        <v>488</v>
      </c>
      <c r="B370" s="8">
        <v>11.38</v>
      </c>
      <c r="C370" s="10">
        <v>4.7300000000000004</v>
      </c>
      <c r="D370" s="4">
        <f t="shared" ref="D370:E370" si="367">AVERAGE(B370:B372)</f>
        <v>11.416666666666666</v>
      </c>
      <c r="E370" s="4">
        <f t="shared" si="367"/>
        <v>4.9266666666666667</v>
      </c>
    </row>
    <row r="371" spans="1:5" ht="15" x14ac:dyDescent="0.25">
      <c r="A371" s="7" t="s">
        <v>124</v>
      </c>
      <c r="B371" s="8">
        <v>11.42</v>
      </c>
      <c r="C371" s="10">
        <v>4.76</v>
      </c>
      <c r="D371" s="4">
        <f t="shared" ref="D371:E371" si="368">AVERAGE(B371:B373)</f>
        <v>11.446666666666665</v>
      </c>
      <c r="E371" s="4">
        <f t="shared" si="368"/>
        <v>5.166666666666667</v>
      </c>
    </row>
    <row r="372" spans="1:5" ht="15" x14ac:dyDescent="0.25">
      <c r="A372" s="7" t="s">
        <v>489</v>
      </c>
      <c r="B372" s="8">
        <v>11.45</v>
      </c>
      <c r="C372" s="10">
        <v>5.29</v>
      </c>
      <c r="D372" s="4">
        <f t="shared" ref="D372:E372" si="369">AVERAGE(B372:B374)</f>
        <v>11.466666666666669</v>
      </c>
      <c r="E372" s="4">
        <f t="shared" si="369"/>
        <v>5.4233333333333329</v>
      </c>
    </row>
    <row r="373" spans="1:5" ht="15" x14ac:dyDescent="0.25">
      <c r="A373" s="7" t="s">
        <v>490</v>
      </c>
      <c r="B373" s="8">
        <v>11.47</v>
      </c>
      <c r="C373" s="10">
        <v>5.45</v>
      </c>
      <c r="D373" s="4">
        <f t="shared" ref="D373:E373" si="370">AVERAGE(B373:B375)</f>
        <v>11.49</v>
      </c>
      <c r="E373" s="4">
        <f t="shared" si="370"/>
        <v>5.6333333333333329</v>
      </c>
    </row>
    <row r="374" spans="1:5" ht="15" x14ac:dyDescent="0.25">
      <c r="A374" s="7" t="s">
        <v>125</v>
      </c>
      <c r="B374" s="8">
        <v>11.48</v>
      </c>
      <c r="C374" s="10">
        <v>5.53</v>
      </c>
      <c r="D374" s="4">
        <f t="shared" ref="D374:E374" si="371">AVERAGE(B374:B376)</f>
        <v>11.516666666666666</v>
      </c>
      <c r="E374" s="4">
        <f t="shared" si="371"/>
        <v>5.81</v>
      </c>
    </row>
    <row r="375" spans="1:5" ht="15" x14ac:dyDescent="0.25">
      <c r="A375" s="7" t="s">
        <v>491</v>
      </c>
      <c r="B375" s="8">
        <v>11.52</v>
      </c>
      <c r="C375" s="10">
        <v>5.92</v>
      </c>
      <c r="D375" s="4">
        <f t="shared" ref="D375:E375" si="372">AVERAGE(B375:B377)</f>
        <v>11.543333333333335</v>
      </c>
      <c r="E375" s="4">
        <f t="shared" si="372"/>
        <v>5.9833333333333334</v>
      </c>
    </row>
    <row r="376" spans="1:5" ht="15" x14ac:dyDescent="0.25">
      <c r="A376" s="7" t="s">
        <v>492</v>
      </c>
      <c r="B376" s="8">
        <v>11.55</v>
      </c>
      <c r="C376" s="10">
        <v>5.98</v>
      </c>
      <c r="D376" s="4">
        <f t="shared" ref="D376:E376" si="373">AVERAGE(B376:B378)</f>
        <v>11.57</v>
      </c>
      <c r="E376" s="4">
        <f t="shared" si="373"/>
        <v>6.0133333333333328</v>
      </c>
    </row>
    <row r="377" spans="1:5" ht="15" x14ac:dyDescent="0.25">
      <c r="A377" s="7" t="s">
        <v>126</v>
      </c>
      <c r="B377" s="8">
        <v>11.56</v>
      </c>
      <c r="C377" s="10">
        <v>6.05</v>
      </c>
      <c r="D377" s="4">
        <f t="shared" ref="D377:E377" si="374">AVERAGE(B377:B379)</f>
        <v>11.596666666666666</v>
      </c>
      <c r="E377" s="4">
        <f t="shared" si="374"/>
        <v>6.02</v>
      </c>
    </row>
    <row r="378" spans="1:5" ht="15" x14ac:dyDescent="0.25">
      <c r="A378" s="7" t="s">
        <v>493</v>
      </c>
      <c r="B378" s="8">
        <v>11.6</v>
      </c>
      <c r="C378" s="10">
        <v>6.01</v>
      </c>
      <c r="D378" s="4">
        <f t="shared" ref="D378:E378" si="375">AVERAGE(B378:B380)</f>
        <v>11.633333333333333</v>
      </c>
      <c r="E378" s="4">
        <f t="shared" si="375"/>
        <v>5.9533333333333331</v>
      </c>
    </row>
    <row r="379" spans="1:5" ht="15" x14ac:dyDescent="0.25">
      <c r="A379" s="7" t="s">
        <v>494</v>
      </c>
      <c r="B379" s="8">
        <v>11.63</v>
      </c>
      <c r="C379" s="10">
        <v>6</v>
      </c>
      <c r="D379" s="4">
        <f t="shared" ref="D379:E379" si="376">AVERAGE(B379:B381)</f>
        <v>11.663333333333334</v>
      </c>
      <c r="E379" s="4">
        <f t="shared" si="376"/>
        <v>5.8633333333333333</v>
      </c>
    </row>
    <row r="380" spans="1:5" ht="15" x14ac:dyDescent="0.25">
      <c r="A380" s="7" t="s">
        <v>127</v>
      </c>
      <c r="B380" s="8">
        <v>11.67</v>
      </c>
      <c r="C380" s="10">
        <v>5.85</v>
      </c>
      <c r="D380" s="4">
        <f t="shared" ref="D380:E380" si="377">AVERAGE(B380:B382)</f>
        <v>11.696666666666667</v>
      </c>
      <c r="E380" s="4">
        <f t="shared" si="377"/>
        <v>5.7966666666666669</v>
      </c>
    </row>
    <row r="381" spans="1:5" ht="15" x14ac:dyDescent="0.25">
      <c r="A381" s="7" t="s">
        <v>495</v>
      </c>
      <c r="B381" s="8">
        <v>11.69</v>
      </c>
      <c r="C381" s="10">
        <v>5.74</v>
      </c>
      <c r="D381" s="4">
        <f t="shared" ref="D381:E381" si="378">AVERAGE(B381:B383)</f>
        <v>11.723333333333334</v>
      </c>
      <c r="E381" s="4">
        <f t="shared" si="378"/>
        <v>5.7666666666666657</v>
      </c>
    </row>
    <row r="382" spans="1:5" ht="15" x14ac:dyDescent="0.25">
      <c r="A382" s="7" t="s">
        <v>496</v>
      </c>
      <c r="B382" s="8">
        <v>11.73</v>
      </c>
      <c r="C382" s="10">
        <v>5.8</v>
      </c>
      <c r="D382" s="4">
        <f t="shared" ref="D382:E382" si="379">AVERAGE(B382:B384)</f>
        <v>11.753333333333332</v>
      </c>
      <c r="E382" s="4">
        <f t="shared" si="379"/>
        <v>5.7866666666666662</v>
      </c>
    </row>
    <row r="383" spans="1:5" ht="15" x14ac:dyDescent="0.25">
      <c r="A383" s="7" t="s">
        <v>128</v>
      </c>
      <c r="B383" s="8">
        <v>11.75</v>
      </c>
      <c r="C383" s="10">
        <v>5.76</v>
      </c>
      <c r="D383" s="4">
        <f t="shared" ref="D383:E383" si="380">AVERAGE(B383:B385)</f>
        <v>11.780000000000001</v>
      </c>
      <c r="E383" s="4">
        <f t="shared" si="380"/>
        <v>5.7199999999999989</v>
      </c>
    </row>
    <row r="384" spans="1:5" ht="15" x14ac:dyDescent="0.25">
      <c r="A384" s="7" t="s">
        <v>497</v>
      </c>
      <c r="B384" s="8">
        <v>11.78</v>
      </c>
      <c r="C384" s="10">
        <v>5.8</v>
      </c>
      <c r="D384" s="4">
        <f t="shared" ref="D384:E384" si="381">AVERAGE(B384:B386)</f>
        <v>11.816666666666668</v>
      </c>
      <c r="E384" s="4">
        <f t="shared" si="381"/>
        <v>5.6533333333333324</v>
      </c>
    </row>
    <row r="385" spans="1:5" ht="15" x14ac:dyDescent="0.25">
      <c r="A385" s="7" t="s">
        <v>498</v>
      </c>
      <c r="B385" s="8">
        <v>11.81</v>
      </c>
      <c r="C385" s="10">
        <v>5.6</v>
      </c>
      <c r="D385" s="4">
        <f t="shared" ref="D385:E385" si="382">AVERAGE(B385:B387)</f>
        <v>11.846666666666666</v>
      </c>
      <c r="E385" s="4">
        <f t="shared" si="382"/>
        <v>5.46</v>
      </c>
    </row>
    <row r="386" spans="1:5" ht="15" x14ac:dyDescent="0.25">
      <c r="A386" s="7" t="s">
        <v>129</v>
      </c>
      <c r="B386" s="8">
        <v>11.86</v>
      </c>
      <c r="C386" s="10">
        <v>5.56</v>
      </c>
      <c r="D386" s="4">
        <f t="shared" ref="D386:E386" si="383">AVERAGE(B386:B388)</f>
        <v>11.873333333333333</v>
      </c>
      <c r="E386" s="4">
        <f t="shared" si="383"/>
        <v>5.3633333333333333</v>
      </c>
    </row>
    <row r="387" spans="1:5" ht="15" x14ac:dyDescent="0.25">
      <c r="A387" s="7" t="s">
        <v>499</v>
      </c>
      <c r="B387" s="8">
        <v>11.87</v>
      </c>
      <c r="C387" s="10">
        <v>5.22</v>
      </c>
      <c r="D387" s="4">
        <f t="shared" ref="D387:E387" si="384">AVERAGE(B387:B389)</f>
        <v>11.903333333333331</v>
      </c>
      <c r="E387" s="4">
        <f t="shared" si="384"/>
        <v>5.25</v>
      </c>
    </row>
    <row r="388" spans="1:5" ht="15" x14ac:dyDescent="0.25">
      <c r="A388" s="7" t="s">
        <v>500</v>
      </c>
      <c r="B388" s="8">
        <v>11.89</v>
      </c>
      <c r="C388" s="10">
        <v>5.31</v>
      </c>
      <c r="D388" s="4">
        <f t="shared" ref="D388:E388" si="385">AVERAGE(B388:B390)</f>
        <v>11.936666666666667</v>
      </c>
      <c r="E388" s="4">
        <f t="shared" si="385"/>
        <v>5.2566666666666668</v>
      </c>
    </row>
    <row r="389" spans="1:5" ht="15" x14ac:dyDescent="0.25">
      <c r="A389" s="7" t="s">
        <v>130</v>
      </c>
      <c r="B389" s="8">
        <v>11.95</v>
      </c>
      <c r="C389" s="10">
        <v>5.22</v>
      </c>
      <c r="D389" s="4">
        <f t="shared" ref="D389:E389" si="386">AVERAGE(B389:B391)</f>
        <v>11.983333333333334</v>
      </c>
      <c r="E389" s="4">
        <f t="shared" si="386"/>
        <v>5.2433333333333332</v>
      </c>
    </row>
    <row r="390" spans="1:5" ht="15" x14ac:dyDescent="0.25">
      <c r="A390" s="7" t="s">
        <v>501</v>
      </c>
      <c r="B390" s="8">
        <v>11.97</v>
      </c>
      <c r="C390" s="10">
        <v>5.24</v>
      </c>
      <c r="D390" s="4">
        <f t="shared" ref="D390:E390" si="387">AVERAGE(B390:B392)</f>
        <v>12.020000000000001</v>
      </c>
      <c r="E390" s="4">
        <f t="shared" si="387"/>
        <v>5.3033333333333337</v>
      </c>
    </row>
    <row r="391" spans="1:5" ht="15" x14ac:dyDescent="0.25">
      <c r="A391" s="7" t="s">
        <v>502</v>
      </c>
      <c r="B391" s="8">
        <v>12.03</v>
      </c>
      <c r="C391" s="10">
        <v>5.27</v>
      </c>
      <c r="D391" s="4">
        <f t="shared" ref="D391:E391" si="388">AVERAGE(B391:B393)</f>
        <v>12.06</v>
      </c>
      <c r="E391" s="4">
        <f t="shared" si="388"/>
        <v>5.2966666666666669</v>
      </c>
    </row>
    <row r="392" spans="1:5" ht="15" x14ac:dyDescent="0.25">
      <c r="A392" s="7" t="s">
        <v>131</v>
      </c>
      <c r="B392" s="8">
        <v>12.06</v>
      </c>
      <c r="C392" s="10">
        <v>5.4</v>
      </c>
      <c r="D392" s="4">
        <f t="shared" ref="D392:E392" si="389">AVERAGE(B392:B394)</f>
        <v>12.093333333333334</v>
      </c>
      <c r="E392" s="4">
        <f t="shared" si="389"/>
        <v>5.3066666666666675</v>
      </c>
    </row>
    <row r="393" spans="1:5" ht="15" x14ac:dyDescent="0.25">
      <c r="A393" s="7" t="s">
        <v>503</v>
      </c>
      <c r="B393" s="8">
        <v>12.09</v>
      </c>
      <c r="C393" s="10">
        <v>5.22</v>
      </c>
      <c r="D393" s="4">
        <f t="shared" ref="D393:E393" si="390">AVERAGE(B393:B395)</f>
        <v>12.123333333333333</v>
      </c>
      <c r="E393" s="4">
        <f t="shared" si="390"/>
        <v>5.253333333333333</v>
      </c>
    </row>
    <row r="394" spans="1:5" ht="15" x14ac:dyDescent="0.25">
      <c r="A394" s="7" t="s">
        <v>504</v>
      </c>
      <c r="B394" s="8">
        <v>12.13</v>
      </c>
      <c r="C394" s="10">
        <v>5.3</v>
      </c>
      <c r="D394" s="4">
        <f t="shared" ref="D394:E394" si="391">AVERAGE(B394:B396)</f>
        <v>12.160000000000002</v>
      </c>
      <c r="E394" s="4">
        <f t="shared" si="391"/>
        <v>5.2833333333333323</v>
      </c>
    </row>
    <row r="395" spans="1:5" ht="15" x14ac:dyDescent="0.25">
      <c r="A395" s="7" t="s">
        <v>132</v>
      </c>
      <c r="B395" s="8">
        <v>12.15</v>
      </c>
      <c r="C395" s="10">
        <v>5.24</v>
      </c>
      <c r="D395" s="4">
        <f t="shared" ref="D395:E395" si="392">AVERAGE(B395:B397)</f>
        <v>12.196666666666667</v>
      </c>
      <c r="E395" s="4">
        <f t="shared" si="392"/>
        <v>5.28</v>
      </c>
    </row>
    <row r="396" spans="1:5" ht="15" x14ac:dyDescent="0.25">
      <c r="A396" s="7" t="s">
        <v>505</v>
      </c>
      <c r="B396" s="8">
        <v>12.2</v>
      </c>
      <c r="C396" s="10">
        <v>5.31</v>
      </c>
      <c r="D396" s="4">
        <f t="shared" ref="D396:E396" si="393">AVERAGE(B396:B398)</f>
        <v>12.243333333333332</v>
      </c>
      <c r="E396" s="4">
        <f t="shared" si="393"/>
        <v>5.2833333333333332</v>
      </c>
    </row>
    <row r="397" spans="1:5" ht="15" x14ac:dyDescent="0.25">
      <c r="A397" s="7" t="s">
        <v>506</v>
      </c>
      <c r="B397" s="8">
        <v>12.24</v>
      </c>
      <c r="C397" s="10">
        <v>5.29</v>
      </c>
      <c r="D397" s="4">
        <f t="shared" ref="D397:E397" si="394">AVERAGE(B397:B399)</f>
        <v>12.280000000000001</v>
      </c>
      <c r="E397" s="4">
        <f t="shared" si="394"/>
        <v>5.2433333333333332</v>
      </c>
    </row>
    <row r="398" spans="1:5" ht="15" x14ac:dyDescent="0.25">
      <c r="A398" s="7" t="s">
        <v>133</v>
      </c>
      <c r="B398" s="8">
        <v>12.29</v>
      </c>
      <c r="C398" s="10">
        <v>5.25</v>
      </c>
      <c r="D398" s="4">
        <f t="shared" ref="D398:E398" si="395">AVERAGE(B398:B400)</f>
        <v>12.316666666666668</v>
      </c>
      <c r="E398" s="4">
        <f t="shared" si="395"/>
        <v>5.2766666666666673</v>
      </c>
    </row>
    <row r="399" spans="1:5" ht="15" x14ac:dyDescent="0.25">
      <c r="A399" s="7" t="s">
        <v>507</v>
      </c>
      <c r="B399" s="8">
        <v>12.31</v>
      </c>
      <c r="C399" s="10">
        <v>5.19</v>
      </c>
      <c r="D399" s="4">
        <f t="shared" ref="D399:E399" si="396">AVERAGE(B399:B401)</f>
        <v>12.346666666666666</v>
      </c>
      <c r="E399" s="4">
        <f t="shared" si="396"/>
        <v>5.3633333333333333</v>
      </c>
    </row>
    <row r="400" spans="1:5" ht="15" x14ac:dyDescent="0.25">
      <c r="A400" s="7" t="s">
        <v>508</v>
      </c>
      <c r="B400" s="8">
        <v>12.35</v>
      </c>
      <c r="C400" s="10">
        <v>5.39</v>
      </c>
      <c r="D400" s="4">
        <f t="shared" ref="D400:E400" si="397">AVERAGE(B400:B402)</f>
        <v>12.386666666666665</v>
      </c>
      <c r="E400" s="4">
        <f t="shared" si="397"/>
        <v>5.4666666666666659</v>
      </c>
    </row>
    <row r="401" spans="1:5" ht="15" x14ac:dyDescent="0.25">
      <c r="A401" s="7" t="s">
        <v>134</v>
      </c>
      <c r="B401" s="8">
        <v>12.38</v>
      </c>
      <c r="C401" s="10">
        <v>5.51</v>
      </c>
      <c r="D401" s="4">
        <f t="shared" ref="D401:E401" si="398">AVERAGE(B401:B403)</f>
        <v>12.423333333333334</v>
      </c>
      <c r="E401" s="4">
        <f t="shared" si="398"/>
        <v>5.5233333333333334</v>
      </c>
    </row>
    <row r="402" spans="1:5" ht="15" x14ac:dyDescent="0.25">
      <c r="A402" s="7" t="s">
        <v>509</v>
      </c>
      <c r="B402" s="8">
        <v>12.43</v>
      </c>
      <c r="C402" s="10">
        <v>5.5</v>
      </c>
      <c r="D402" s="4">
        <f t="shared" ref="D402:E402" si="399">AVERAGE(B402:B404)</f>
        <v>12.463333333333333</v>
      </c>
      <c r="E402" s="4">
        <f t="shared" si="399"/>
        <v>5.5266666666666664</v>
      </c>
    </row>
    <row r="403" spans="1:5" ht="15" x14ac:dyDescent="0.25">
      <c r="A403" s="7" t="s">
        <v>510</v>
      </c>
      <c r="B403" s="8">
        <v>12.46</v>
      </c>
      <c r="C403" s="10">
        <v>5.56</v>
      </c>
      <c r="D403" s="4">
        <f t="shared" ref="D403:E403" si="400">AVERAGE(B403:B405)</f>
        <v>12.51</v>
      </c>
      <c r="E403" s="4">
        <f t="shared" si="400"/>
        <v>5.5399999999999991</v>
      </c>
    </row>
    <row r="404" spans="1:5" ht="15" x14ac:dyDescent="0.25">
      <c r="A404" s="7" t="s">
        <v>135</v>
      </c>
      <c r="B404" s="8">
        <v>12.5</v>
      </c>
      <c r="C404" s="10">
        <v>5.52</v>
      </c>
      <c r="D404" s="4">
        <f t="shared" ref="D404:E404" si="401">AVERAGE(B404:B406)</f>
        <v>12.556666666666667</v>
      </c>
      <c r="E404" s="4">
        <f t="shared" si="401"/>
        <v>5.5333333333333323</v>
      </c>
    </row>
    <row r="405" spans="1:5" ht="15" x14ac:dyDescent="0.25">
      <c r="A405" s="7" t="s">
        <v>511</v>
      </c>
      <c r="B405" s="8">
        <v>12.57</v>
      </c>
      <c r="C405" s="10">
        <v>5.54</v>
      </c>
      <c r="D405" s="4">
        <f t="shared" ref="D405:E405" si="402">AVERAGE(B405:B407)</f>
        <v>12.61</v>
      </c>
      <c r="E405" s="4">
        <f t="shared" si="402"/>
        <v>5.5266666666666664</v>
      </c>
    </row>
    <row r="406" spans="1:5" ht="15" x14ac:dyDescent="0.25">
      <c r="A406" s="7" t="s">
        <v>512</v>
      </c>
      <c r="B406" s="8">
        <v>12.6</v>
      </c>
      <c r="C406" s="10">
        <v>5.54</v>
      </c>
      <c r="D406" s="4">
        <f t="shared" ref="D406:E406" si="403">AVERAGE(B406:B408)</f>
        <v>12.656666666666666</v>
      </c>
      <c r="E406" s="4">
        <f t="shared" si="403"/>
        <v>5.52</v>
      </c>
    </row>
    <row r="407" spans="1:5" ht="15" x14ac:dyDescent="0.25">
      <c r="A407" s="7" t="s">
        <v>136</v>
      </c>
      <c r="B407" s="8">
        <v>12.66</v>
      </c>
      <c r="C407" s="10">
        <v>5.5</v>
      </c>
      <c r="D407" s="4">
        <f t="shared" ref="D407:E407" si="404">AVERAGE(B407:B409)</f>
        <v>12.706666666666669</v>
      </c>
      <c r="E407" s="4">
        <f t="shared" si="404"/>
        <v>5.5066666666666668</v>
      </c>
    </row>
    <row r="408" spans="1:5" ht="15" x14ac:dyDescent="0.25">
      <c r="A408" s="7" t="s">
        <v>513</v>
      </c>
      <c r="B408" s="8">
        <v>12.71</v>
      </c>
      <c r="C408" s="10">
        <v>5.52</v>
      </c>
      <c r="D408" s="4">
        <f t="shared" ref="D408:E408" si="405">AVERAGE(B408:B410)</f>
        <v>12.75</v>
      </c>
      <c r="E408" s="4">
        <f t="shared" si="405"/>
        <v>5.5266666666666664</v>
      </c>
    </row>
    <row r="409" spans="1:5" ht="15" x14ac:dyDescent="0.25">
      <c r="A409" s="7" t="s">
        <v>514</v>
      </c>
      <c r="B409" s="8">
        <v>12.75</v>
      </c>
      <c r="C409" s="10">
        <v>5.5</v>
      </c>
      <c r="D409" s="4">
        <f t="shared" ref="D409:E409" si="406">AVERAGE(B409:B411)</f>
        <v>12.79</v>
      </c>
      <c r="E409" s="4">
        <f t="shared" si="406"/>
        <v>5.5233333333333334</v>
      </c>
    </row>
    <row r="410" spans="1:5" ht="15" x14ac:dyDescent="0.25">
      <c r="A410" s="7" t="s">
        <v>137</v>
      </c>
      <c r="B410" s="8">
        <v>12.79</v>
      </c>
      <c r="C410" s="10">
        <v>5.56</v>
      </c>
      <c r="D410" s="4">
        <f t="shared" ref="D410:E410" si="407">AVERAGE(B410:B412)</f>
        <v>12.829999999999998</v>
      </c>
      <c r="E410" s="4">
        <f t="shared" si="407"/>
        <v>5.5200000000000005</v>
      </c>
    </row>
    <row r="411" spans="1:5" ht="15" x14ac:dyDescent="0.25">
      <c r="A411" s="7" t="s">
        <v>515</v>
      </c>
      <c r="B411" s="8">
        <v>12.83</v>
      </c>
      <c r="C411" s="10">
        <v>5.51</v>
      </c>
      <c r="D411" s="4">
        <f t="shared" ref="D411:E411" si="408">AVERAGE(B411:B413)</f>
        <v>12.873333333333333</v>
      </c>
      <c r="E411" s="4">
        <f t="shared" si="408"/>
        <v>5.4833333333333334</v>
      </c>
    </row>
    <row r="412" spans="1:5" ht="15" x14ac:dyDescent="0.25">
      <c r="A412" s="7" t="s">
        <v>516</v>
      </c>
      <c r="B412" s="8">
        <v>12.87</v>
      </c>
      <c r="C412" s="10">
        <v>5.49</v>
      </c>
      <c r="D412" s="4">
        <f t="shared" ref="D412:E412" si="409">AVERAGE(B412:B414)</f>
        <v>12.92</v>
      </c>
      <c r="E412" s="4">
        <f t="shared" si="409"/>
        <v>5.4766666666666666</v>
      </c>
    </row>
    <row r="413" spans="1:5" ht="15" x14ac:dyDescent="0.25">
      <c r="A413" s="7" t="s">
        <v>138</v>
      </c>
      <c r="B413" s="8">
        <v>12.92</v>
      </c>
      <c r="C413" s="10">
        <v>5.45</v>
      </c>
      <c r="D413" s="4">
        <f t="shared" ref="D413:E413" si="410">AVERAGE(B413:B415)</f>
        <v>12.96</v>
      </c>
      <c r="E413" s="4">
        <f t="shared" si="410"/>
        <v>5.5</v>
      </c>
    </row>
    <row r="414" spans="1:5" ht="15" x14ac:dyDescent="0.25">
      <c r="A414" s="7" t="s">
        <v>517</v>
      </c>
      <c r="B414" s="8">
        <v>12.97</v>
      </c>
      <c r="C414" s="10">
        <v>5.49</v>
      </c>
      <c r="D414" s="4">
        <f t="shared" ref="D414:E414" si="411">AVERAGE(B414:B416)</f>
        <v>12.99</v>
      </c>
      <c r="E414" s="4">
        <f t="shared" si="411"/>
        <v>5.53</v>
      </c>
    </row>
    <row r="415" spans="1:5" ht="15" x14ac:dyDescent="0.25">
      <c r="A415" s="7" t="s">
        <v>518</v>
      </c>
      <c r="B415" s="8">
        <v>12.99</v>
      </c>
      <c r="C415" s="10">
        <v>5.56</v>
      </c>
      <c r="D415" s="4">
        <f t="shared" ref="D415:E415" si="412">AVERAGE(B415:B417)</f>
        <v>13.023333333333333</v>
      </c>
      <c r="E415" s="4">
        <f t="shared" si="412"/>
        <v>5.55</v>
      </c>
    </row>
    <row r="416" spans="1:5" ht="15" x14ac:dyDescent="0.25">
      <c r="A416" s="7" t="s">
        <v>139</v>
      </c>
      <c r="B416" s="8">
        <v>13.01</v>
      </c>
      <c r="C416" s="10">
        <v>5.54</v>
      </c>
      <c r="D416" s="4">
        <f t="shared" ref="D416:E416" si="413">AVERAGE(B416:B418)</f>
        <v>13.063333333333333</v>
      </c>
      <c r="E416" s="4">
        <f t="shared" si="413"/>
        <v>5.5333333333333341</v>
      </c>
    </row>
    <row r="417" spans="1:5" ht="15" x14ac:dyDescent="0.25">
      <c r="A417" s="7" t="s">
        <v>519</v>
      </c>
      <c r="B417" s="8">
        <v>13.07</v>
      </c>
      <c r="C417" s="10">
        <v>5.55</v>
      </c>
      <c r="D417" s="4">
        <f t="shared" ref="D417:E417" si="414">AVERAGE(B417:B419)</f>
        <v>13.106666666666667</v>
      </c>
      <c r="E417" s="4">
        <f t="shared" si="414"/>
        <v>5.376666666666666</v>
      </c>
    </row>
    <row r="418" spans="1:5" ht="15" x14ac:dyDescent="0.25">
      <c r="A418" s="7" t="s">
        <v>520</v>
      </c>
      <c r="B418" s="8">
        <v>13.11</v>
      </c>
      <c r="C418" s="10">
        <v>5.51</v>
      </c>
      <c r="D418" s="4">
        <f t="shared" ref="D418:E418" si="415">AVERAGE(B418:B420)</f>
        <v>13.14</v>
      </c>
      <c r="E418" s="4">
        <f t="shared" si="415"/>
        <v>5.1366666666666667</v>
      </c>
    </row>
    <row r="419" spans="1:5" ht="15" x14ac:dyDescent="0.25">
      <c r="A419" s="7" t="s">
        <v>140</v>
      </c>
      <c r="B419" s="8">
        <v>13.14</v>
      </c>
      <c r="C419" s="10">
        <v>5.07</v>
      </c>
      <c r="D419" s="4">
        <f t="shared" ref="D419:E419" si="416">AVERAGE(B419:B421)</f>
        <v>13.173333333333334</v>
      </c>
      <c r="E419" s="4">
        <f t="shared" si="416"/>
        <v>4.8600000000000003</v>
      </c>
    </row>
    <row r="420" spans="1:5" ht="15" x14ac:dyDescent="0.25">
      <c r="A420" s="7" t="s">
        <v>521</v>
      </c>
      <c r="B420" s="8">
        <v>13.17</v>
      </c>
      <c r="C420" s="10">
        <v>4.83</v>
      </c>
      <c r="D420" s="4">
        <f t="shared" ref="D420:E420" si="417">AVERAGE(B420:B422)</f>
        <v>13.216666666666669</v>
      </c>
      <c r="E420" s="4">
        <f t="shared" si="417"/>
        <v>4.7133333333333338</v>
      </c>
    </row>
    <row r="421" spans="1:5" ht="15" x14ac:dyDescent="0.25">
      <c r="A421" s="7" t="s">
        <v>522</v>
      </c>
      <c r="B421" s="8">
        <v>13.21</v>
      </c>
      <c r="C421" s="10">
        <v>4.68</v>
      </c>
      <c r="D421" s="4">
        <f t="shared" ref="D421:E421" si="418">AVERAGE(B421:B423)</f>
        <v>13.26</v>
      </c>
      <c r="E421" s="4">
        <f t="shared" si="418"/>
        <v>4.6899999999999995</v>
      </c>
    </row>
    <row r="422" spans="1:5" ht="15" x14ac:dyDescent="0.25">
      <c r="A422" s="7" t="s">
        <v>141</v>
      </c>
      <c r="B422" s="8">
        <v>13.27</v>
      </c>
      <c r="C422" s="10">
        <v>4.63</v>
      </c>
      <c r="D422" s="4">
        <f t="shared" ref="D422:E422" si="419">AVERAGE(B422:B424)</f>
        <v>13.299999999999999</v>
      </c>
      <c r="E422" s="4">
        <f t="shared" si="419"/>
        <v>4.7333333333333334</v>
      </c>
    </row>
    <row r="423" spans="1:5" ht="15" x14ac:dyDescent="0.25">
      <c r="A423" s="7" t="s">
        <v>523</v>
      </c>
      <c r="B423" s="8">
        <v>13.3</v>
      </c>
      <c r="C423" s="10">
        <v>4.76</v>
      </c>
      <c r="D423" s="4">
        <f t="shared" ref="D423:E423" si="420">AVERAGE(B423:B425)</f>
        <v>13.336666666666668</v>
      </c>
      <c r="E423" s="4">
        <f t="shared" si="420"/>
        <v>4.7700000000000005</v>
      </c>
    </row>
    <row r="424" spans="1:5" ht="15" x14ac:dyDescent="0.25">
      <c r="A424" s="7" t="s">
        <v>524</v>
      </c>
      <c r="B424" s="8">
        <v>13.33</v>
      </c>
      <c r="C424" s="10">
        <v>4.8099999999999996</v>
      </c>
      <c r="D424" s="4">
        <f t="shared" ref="D424:E424" si="421">AVERAGE(B424:B426)</f>
        <v>13.376666666666667</v>
      </c>
      <c r="E424" s="4">
        <f t="shared" si="421"/>
        <v>4.7633333333333336</v>
      </c>
    </row>
    <row r="425" spans="1:5" ht="15" x14ac:dyDescent="0.25">
      <c r="A425" s="7" t="s">
        <v>142</v>
      </c>
      <c r="B425" s="8">
        <v>13.38</v>
      </c>
      <c r="C425" s="10">
        <v>4.74</v>
      </c>
      <c r="D425" s="4">
        <f t="shared" ref="D425:E425" si="422">AVERAGE(B425:B427)</f>
        <v>13.423333333333334</v>
      </c>
      <c r="E425" s="4">
        <f t="shared" si="422"/>
        <v>4.746666666666667</v>
      </c>
    </row>
    <row r="426" spans="1:5" ht="15" x14ac:dyDescent="0.25">
      <c r="A426" s="7" t="s">
        <v>525</v>
      </c>
      <c r="B426" s="8">
        <v>13.42</v>
      </c>
      <c r="C426" s="10">
        <v>4.74</v>
      </c>
      <c r="D426" s="4">
        <f t="shared" ref="D426:E426" si="423">AVERAGE(B426:B428)</f>
        <v>13.466666666666667</v>
      </c>
      <c r="E426" s="4">
        <f t="shared" si="423"/>
        <v>4.83</v>
      </c>
    </row>
    <row r="427" spans="1:5" ht="15" x14ac:dyDescent="0.25">
      <c r="A427" s="7" t="s">
        <v>526</v>
      </c>
      <c r="B427" s="8">
        <v>13.47</v>
      </c>
      <c r="C427" s="10">
        <v>4.76</v>
      </c>
      <c r="D427" s="4">
        <f t="shared" ref="D427:E427" si="424">AVERAGE(B427:B429)</f>
        <v>13.506666666666666</v>
      </c>
      <c r="E427" s="4">
        <f t="shared" si="424"/>
        <v>4.9400000000000004</v>
      </c>
    </row>
    <row r="428" spans="1:5" ht="15" x14ac:dyDescent="0.25">
      <c r="A428" s="7" t="s">
        <v>143</v>
      </c>
      <c r="B428" s="8">
        <v>13.51</v>
      </c>
      <c r="C428" s="10">
        <v>4.99</v>
      </c>
      <c r="D428" s="4">
        <f t="shared" ref="D428:E428" si="425">AVERAGE(B428:B430)</f>
        <v>13.549999999999999</v>
      </c>
      <c r="E428" s="4">
        <f t="shared" si="425"/>
        <v>5.0933333333333337</v>
      </c>
    </row>
    <row r="429" spans="1:5" ht="15" x14ac:dyDescent="0.25">
      <c r="A429" s="7" t="s">
        <v>527</v>
      </c>
      <c r="B429" s="8">
        <v>13.54</v>
      </c>
      <c r="C429" s="10">
        <v>5.07</v>
      </c>
      <c r="D429" s="4">
        <f t="shared" ref="D429:E429" si="426">AVERAGE(B429:B431)</f>
        <v>13.593333333333334</v>
      </c>
      <c r="E429" s="4">
        <f t="shared" si="426"/>
        <v>5.1633333333333331</v>
      </c>
    </row>
    <row r="430" spans="1:5" ht="15" x14ac:dyDescent="0.25">
      <c r="A430" s="7" t="s">
        <v>528</v>
      </c>
      <c r="B430" s="8">
        <v>13.6</v>
      </c>
      <c r="C430" s="10">
        <v>5.22</v>
      </c>
      <c r="D430" s="4">
        <f t="shared" ref="D430:E430" si="427">AVERAGE(B430:B432)</f>
        <v>13.633333333333335</v>
      </c>
      <c r="E430" s="4">
        <f t="shared" si="427"/>
        <v>5.28</v>
      </c>
    </row>
    <row r="431" spans="1:5" ht="15" x14ac:dyDescent="0.25">
      <c r="A431" s="7" t="s">
        <v>144</v>
      </c>
      <c r="B431" s="8">
        <v>13.64</v>
      </c>
      <c r="C431" s="10">
        <v>5.2</v>
      </c>
      <c r="D431" s="4">
        <f t="shared" ref="D431:E431" si="428">AVERAGE(B431:B433)</f>
        <v>13.666666666666666</v>
      </c>
      <c r="E431" s="4">
        <f t="shared" si="428"/>
        <v>5.3066666666666675</v>
      </c>
    </row>
    <row r="432" spans="1:5" ht="15" x14ac:dyDescent="0.25">
      <c r="A432" s="7" t="s">
        <v>529</v>
      </c>
      <c r="B432" s="8">
        <v>13.66</v>
      </c>
      <c r="C432" s="10">
        <v>5.42</v>
      </c>
      <c r="D432" s="4">
        <f t="shared" ref="D432:E432" si="429">AVERAGE(B432:B434)</f>
        <v>13.703333333333333</v>
      </c>
      <c r="E432" s="4">
        <f t="shared" si="429"/>
        <v>5.39</v>
      </c>
    </row>
    <row r="433" spans="1:5" ht="15" x14ac:dyDescent="0.25">
      <c r="A433" s="7" t="s">
        <v>530</v>
      </c>
      <c r="B433" s="8">
        <v>13.7</v>
      </c>
      <c r="C433" s="10">
        <v>5.3</v>
      </c>
      <c r="D433" s="4">
        <f t="shared" ref="D433:E433" si="430">AVERAGE(B433:B435)</f>
        <v>13.75</v>
      </c>
      <c r="E433" s="4">
        <f t="shared" si="430"/>
        <v>5.4933333333333332</v>
      </c>
    </row>
    <row r="434" spans="1:5" ht="15" x14ac:dyDescent="0.25">
      <c r="A434" s="7" t="s">
        <v>145</v>
      </c>
      <c r="B434" s="8">
        <v>13.75</v>
      </c>
      <c r="C434" s="10">
        <v>5.45</v>
      </c>
      <c r="D434" s="4">
        <f t="shared" ref="D434:E434" si="431">AVERAGE(B434:B436)</f>
        <v>13.799999999999999</v>
      </c>
      <c r="E434" s="4">
        <f t="shared" si="431"/>
        <v>5.6766666666666667</v>
      </c>
    </row>
    <row r="435" spans="1:5" ht="15" x14ac:dyDescent="0.25">
      <c r="A435" s="7" t="s">
        <v>531</v>
      </c>
      <c r="B435" s="8">
        <v>13.8</v>
      </c>
      <c r="C435" s="10">
        <v>5.73</v>
      </c>
      <c r="D435" s="4">
        <f t="shared" ref="D435:E435" si="432">AVERAGE(B435:B437)</f>
        <v>13.846666666666666</v>
      </c>
      <c r="E435" s="4">
        <f t="shared" si="432"/>
        <v>5.8666666666666671</v>
      </c>
    </row>
    <row r="436" spans="1:5" ht="15" x14ac:dyDescent="0.25">
      <c r="A436" s="7" t="s">
        <v>532</v>
      </c>
      <c r="B436" s="8">
        <v>13.85</v>
      </c>
      <c r="C436" s="10">
        <v>5.85</v>
      </c>
      <c r="D436" s="4">
        <f t="shared" ref="D436:E436" si="433">AVERAGE(B436:B438)</f>
        <v>13.893333333333333</v>
      </c>
      <c r="E436" s="4">
        <f t="shared" si="433"/>
        <v>6.0466666666666669</v>
      </c>
    </row>
    <row r="437" spans="1:5" ht="15" x14ac:dyDescent="0.25">
      <c r="A437" s="7" t="s">
        <v>146</v>
      </c>
      <c r="B437" s="8">
        <v>13.89</v>
      </c>
      <c r="C437" s="10">
        <v>6.02</v>
      </c>
      <c r="D437" s="4">
        <f t="shared" ref="D437:E437" si="434">AVERAGE(B437:B439)</f>
        <v>13.936666666666667</v>
      </c>
      <c r="E437" s="4">
        <f t="shared" si="434"/>
        <v>6.2733333333333334</v>
      </c>
    </row>
    <row r="438" spans="1:5" ht="15" x14ac:dyDescent="0.25">
      <c r="A438" s="7" t="s">
        <v>533</v>
      </c>
      <c r="B438" s="8">
        <v>13.94</v>
      </c>
      <c r="C438" s="10">
        <v>6.27</v>
      </c>
      <c r="D438" s="4">
        <f t="shared" ref="D438:E438" si="435">AVERAGE(B438:B440)</f>
        <v>13.979999999999999</v>
      </c>
      <c r="E438" s="4">
        <f t="shared" si="435"/>
        <v>6.4466666666666663</v>
      </c>
    </row>
    <row r="439" spans="1:5" ht="15" x14ac:dyDescent="0.25">
      <c r="A439" s="7" t="s">
        <v>534</v>
      </c>
      <c r="B439" s="8">
        <v>13.98</v>
      </c>
      <c r="C439" s="10">
        <v>6.53</v>
      </c>
      <c r="D439" s="4">
        <f t="shared" ref="D439:E439" si="436">AVERAGE(B439:B441)</f>
        <v>14.023333333333333</v>
      </c>
      <c r="E439" s="4">
        <f t="shared" si="436"/>
        <v>6.5233333333333334</v>
      </c>
    </row>
    <row r="440" spans="1:5" ht="15" x14ac:dyDescent="0.25">
      <c r="A440" s="7" t="s">
        <v>147</v>
      </c>
      <c r="B440" s="8">
        <v>14.02</v>
      </c>
      <c r="C440" s="10">
        <v>6.54</v>
      </c>
      <c r="D440" s="4">
        <f t="shared" ref="D440:E440" si="437">AVERAGE(B440:B442)</f>
        <v>14.07</v>
      </c>
      <c r="E440" s="4">
        <f t="shared" si="437"/>
        <v>6.52</v>
      </c>
    </row>
    <row r="441" spans="1:5" ht="15" x14ac:dyDescent="0.25">
      <c r="A441" s="7" t="s">
        <v>535</v>
      </c>
      <c r="B441" s="8">
        <v>14.07</v>
      </c>
      <c r="C441" s="10">
        <v>6.5</v>
      </c>
      <c r="D441" s="4">
        <f t="shared" ref="D441:E441" si="438">AVERAGE(B441:B443)</f>
        <v>14.12</v>
      </c>
      <c r="E441" s="4">
        <f t="shared" si="438"/>
        <v>6.5100000000000007</v>
      </c>
    </row>
    <row r="442" spans="1:5" ht="15" x14ac:dyDescent="0.25">
      <c r="A442" s="7" t="s">
        <v>536</v>
      </c>
      <c r="B442" s="8">
        <v>14.12</v>
      </c>
      <c r="C442" s="10">
        <v>6.52</v>
      </c>
      <c r="D442" s="4">
        <f t="shared" ref="D442:E442" si="439">AVERAGE(B442:B444)</f>
        <v>14.173333333333332</v>
      </c>
      <c r="E442" s="4">
        <f t="shared" si="439"/>
        <v>6.5133333333333328</v>
      </c>
    </row>
    <row r="443" spans="1:5" ht="15" x14ac:dyDescent="0.25">
      <c r="A443" s="7" t="s">
        <v>148</v>
      </c>
      <c r="B443" s="8">
        <v>14.17</v>
      </c>
      <c r="C443" s="10">
        <v>6.51</v>
      </c>
      <c r="D443" s="4">
        <f t="shared" ref="D443:E443" si="440">AVERAGE(B443:B445)</f>
        <v>14.229999999999999</v>
      </c>
      <c r="E443" s="4">
        <f t="shared" si="440"/>
        <v>6.4733333333333336</v>
      </c>
    </row>
    <row r="444" spans="1:5" ht="15" x14ac:dyDescent="0.25">
      <c r="A444" s="7" t="s">
        <v>537</v>
      </c>
      <c r="B444" s="8">
        <v>14.23</v>
      </c>
      <c r="C444" s="10">
        <v>6.51</v>
      </c>
      <c r="D444" s="4">
        <f t="shared" ref="D444:E444" si="441">AVERAGE(B444:B446)</f>
        <v>14.270000000000001</v>
      </c>
      <c r="E444" s="4">
        <f t="shared" si="441"/>
        <v>6.2966666666666669</v>
      </c>
    </row>
    <row r="445" spans="1:5" ht="15" x14ac:dyDescent="0.25">
      <c r="A445" s="7" t="s">
        <v>538</v>
      </c>
      <c r="B445" s="8">
        <v>14.29</v>
      </c>
      <c r="C445" s="10">
        <v>6.4</v>
      </c>
      <c r="D445" s="4">
        <f t="shared" ref="D445:E445" si="442">AVERAGE(B445:B447)</f>
        <v>14.313333333333333</v>
      </c>
      <c r="E445" s="4">
        <f t="shared" si="442"/>
        <v>5.956666666666667</v>
      </c>
    </row>
    <row r="446" spans="1:5" ht="15" x14ac:dyDescent="0.25">
      <c r="A446" s="7" t="s">
        <v>149</v>
      </c>
      <c r="B446" s="8">
        <v>14.29</v>
      </c>
      <c r="C446" s="10">
        <v>5.98</v>
      </c>
      <c r="D446" s="4">
        <f t="shared" ref="D446:E446" si="443">AVERAGE(B446:B448)</f>
        <v>14.356666666666667</v>
      </c>
      <c r="E446" s="4">
        <f t="shared" si="443"/>
        <v>5.5933333333333337</v>
      </c>
    </row>
    <row r="447" spans="1:5" ht="15" x14ac:dyDescent="0.25">
      <c r="A447" s="7" t="s">
        <v>539</v>
      </c>
      <c r="B447" s="8">
        <v>14.36</v>
      </c>
      <c r="C447" s="10">
        <v>5.49</v>
      </c>
      <c r="D447" s="4">
        <f t="shared" ref="D447:E447" si="444">AVERAGE(B447:B449)</f>
        <v>14.410000000000002</v>
      </c>
      <c r="E447" s="4">
        <f t="shared" si="444"/>
        <v>5.2</v>
      </c>
    </row>
    <row r="448" spans="1:5" ht="15" x14ac:dyDescent="0.25">
      <c r="A448" s="7" t="s">
        <v>540</v>
      </c>
      <c r="B448" s="8">
        <v>14.42</v>
      </c>
      <c r="C448" s="10">
        <v>5.31</v>
      </c>
      <c r="D448" s="4">
        <f t="shared" ref="D448:E448" si="445">AVERAGE(B448:B450)</f>
        <v>14.456666666666665</v>
      </c>
      <c r="E448" s="4">
        <f t="shared" si="445"/>
        <v>4.7733333333333334</v>
      </c>
    </row>
    <row r="449" spans="1:5" ht="15" x14ac:dyDescent="0.25">
      <c r="A449" s="7" t="s">
        <v>150</v>
      </c>
      <c r="B449" s="8">
        <v>14.45</v>
      </c>
      <c r="C449" s="10">
        <v>4.8</v>
      </c>
      <c r="D449" s="4">
        <f t="shared" ref="D449:E449" si="446">AVERAGE(B449:B451)</f>
        <v>14.496666666666664</v>
      </c>
      <c r="E449" s="4">
        <f t="shared" si="446"/>
        <v>4.3266666666666671</v>
      </c>
    </row>
    <row r="450" spans="1:5" ht="15" x14ac:dyDescent="0.25">
      <c r="A450" s="7" t="s">
        <v>541</v>
      </c>
      <c r="B450" s="8">
        <v>14.5</v>
      </c>
      <c r="C450" s="10">
        <v>4.21</v>
      </c>
      <c r="D450" s="4">
        <f t="shared" ref="D450:E450" si="447">AVERAGE(B450:B452)</f>
        <v>14.530000000000001</v>
      </c>
      <c r="E450" s="4">
        <f t="shared" si="447"/>
        <v>3.9833333333333329</v>
      </c>
    </row>
    <row r="451" spans="1:5" ht="15" x14ac:dyDescent="0.25">
      <c r="A451" s="7" t="s">
        <v>542</v>
      </c>
      <c r="B451" s="8">
        <v>14.54</v>
      </c>
      <c r="C451" s="10">
        <v>3.97</v>
      </c>
      <c r="D451" s="4">
        <f t="shared" ref="D451:E451" si="448">AVERAGE(B451:B453)</f>
        <v>14.563333333333333</v>
      </c>
      <c r="E451" s="4">
        <f t="shared" si="448"/>
        <v>3.7966666666666669</v>
      </c>
    </row>
    <row r="452" spans="1:5" ht="15" x14ac:dyDescent="0.25">
      <c r="A452" s="7" t="s">
        <v>151</v>
      </c>
      <c r="B452" s="8">
        <v>14.55</v>
      </c>
      <c r="C452" s="10">
        <v>3.77</v>
      </c>
      <c r="D452" s="4">
        <f t="shared" ref="D452:E452" si="449">AVERAGE(B452:B454)</f>
        <v>14.593333333333334</v>
      </c>
      <c r="E452" s="4">
        <f t="shared" si="449"/>
        <v>3.4966666666666666</v>
      </c>
    </row>
    <row r="453" spans="1:5" ht="15" x14ac:dyDescent="0.25">
      <c r="A453" s="7" t="s">
        <v>543</v>
      </c>
      <c r="B453" s="8">
        <v>14.6</v>
      </c>
      <c r="C453" s="10">
        <v>3.65</v>
      </c>
      <c r="D453" s="4">
        <f t="shared" ref="D453:E453" si="450">AVERAGE(B453:B455)</f>
        <v>14.63</v>
      </c>
      <c r="E453" s="4">
        <f t="shared" si="450"/>
        <v>3.0700000000000003</v>
      </c>
    </row>
    <row r="454" spans="1:5" ht="15" x14ac:dyDescent="0.25">
      <c r="A454" s="7" t="s">
        <v>544</v>
      </c>
      <c r="B454" s="8">
        <v>14.63</v>
      </c>
      <c r="C454" s="10">
        <v>3.07</v>
      </c>
      <c r="D454" s="4">
        <f t="shared" ref="D454:E454" si="451">AVERAGE(B454:B456)</f>
        <v>14.666666666666666</v>
      </c>
      <c r="E454" s="4">
        <f t="shared" si="451"/>
        <v>2.5500000000000003</v>
      </c>
    </row>
    <row r="455" spans="1:5" ht="15" x14ac:dyDescent="0.25">
      <c r="A455" s="7" t="s">
        <v>152</v>
      </c>
      <c r="B455" s="8">
        <v>14.66</v>
      </c>
      <c r="C455" s="10">
        <v>2.4900000000000002</v>
      </c>
      <c r="D455" s="4">
        <f t="shared" ref="D455:E455" si="452">AVERAGE(B455:B457)</f>
        <v>14.703333333333333</v>
      </c>
      <c r="E455" s="4">
        <f t="shared" si="452"/>
        <v>2.1333333333333333</v>
      </c>
    </row>
    <row r="456" spans="1:5" ht="15" x14ac:dyDescent="0.25">
      <c r="A456" s="7" t="s">
        <v>545</v>
      </c>
      <c r="B456" s="8">
        <v>14.71</v>
      </c>
      <c r="C456" s="10">
        <v>2.09</v>
      </c>
      <c r="D456" s="4">
        <f t="shared" ref="D456:E456" si="453">AVERAGE(B456:B458)</f>
        <v>14.736666666666666</v>
      </c>
      <c r="E456" s="4">
        <f t="shared" si="453"/>
        <v>1.8800000000000001</v>
      </c>
    </row>
    <row r="457" spans="1:5" ht="15" x14ac:dyDescent="0.25">
      <c r="A457" s="7" t="s">
        <v>546</v>
      </c>
      <c r="B457" s="8">
        <v>14.74</v>
      </c>
      <c r="C457" s="10">
        <v>1.82</v>
      </c>
      <c r="D457" s="4">
        <f t="shared" ref="D457:E457" si="454">AVERAGE(B457:B459)</f>
        <v>14.76</v>
      </c>
      <c r="E457" s="4">
        <f t="shared" si="454"/>
        <v>1.7633333333333334</v>
      </c>
    </row>
    <row r="458" spans="1:5" ht="15" x14ac:dyDescent="0.25">
      <c r="A458" s="7" t="s">
        <v>153</v>
      </c>
      <c r="B458" s="8">
        <v>14.76</v>
      </c>
      <c r="C458" s="10">
        <v>1.73</v>
      </c>
      <c r="D458" s="4">
        <f t="shared" ref="D458:E458" si="455">AVERAGE(B458:B460)</f>
        <v>14.786666666666667</v>
      </c>
      <c r="E458" s="4">
        <f t="shared" si="455"/>
        <v>1.7333333333333332</v>
      </c>
    </row>
    <row r="459" spans="1:5" ht="15" x14ac:dyDescent="0.25">
      <c r="A459" s="7" t="s">
        <v>547</v>
      </c>
      <c r="B459" s="8">
        <v>14.78</v>
      </c>
      <c r="C459" s="10">
        <v>1.74</v>
      </c>
      <c r="D459" s="4">
        <f t="shared" ref="D459:E459" si="456">AVERAGE(B459:B461)</f>
        <v>14.813333333333333</v>
      </c>
      <c r="E459" s="4">
        <f t="shared" si="456"/>
        <v>1.74</v>
      </c>
    </row>
    <row r="460" spans="1:5" ht="15" x14ac:dyDescent="0.25">
      <c r="A460" s="7" t="s">
        <v>548</v>
      </c>
      <c r="B460" s="8">
        <v>14.82</v>
      </c>
      <c r="C460" s="10">
        <v>1.73</v>
      </c>
      <c r="D460" s="4">
        <f t="shared" ref="D460:E460" si="457">AVERAGE(B460:B462)</f>
        <v>14.846666666666666</v>
      </c>
      <c r="E460" s="4">
        <f t="shared" si="457"/>
        <v>1.7433333333333334</v>
      </c>
    </row>
    <row r="461" spans="1:5" ht="15" x14ac:dyDescent="0.25">
      <c r="A461" s="7" t="s">
        <v>154</v>
      </c>
      <c r="B461" s="8">
        <v>14.84</v>
      </c>
      <c r="C461" s="10">
        <v>1.75</v>
      </c>
      <c r="D461" s="4">
        <f t="shared" ref="D461:E461" si="458">AVERAGE(B461:B463)</f>
        <v>14.883333333333333</v>
      </c>
      <c r="E461" s="4">
        <f t="shared" si="458"/>
        <v>1.75</v>
      </c>
    </row>
    <row r="462" spans="1:5" ht="15" x14ac:dyDescent="0.25">
      <c r="A462" s="7" t="s">
        <v>549</v>
      </c>
      <c r="B462" s="8">
        <v>14.88</v>
      </c>
      <c r="C462" s="10">
        <v>1.75</v>
      </c>
      <c r="D462" s="4">
        <f t="shared" ref="D462:E462" si="459">AVERAGE(B462:B464)</f>
        <v>14.930000000000001</v>
      </c>
      <c r="E462" s="4">
        <f t="shared" si="459"/>
        <v>1.7433333333333334</v>
      </c>
    </row>
    <row r="463" spans="1:5" ht="15" x14ac:dyDescent="0.25">
      <c r="A463" s="7" t="s">
        <v>550</v>
      </c>
      <c r="B463" s="8">
        <v>14.93</v>
      </c>
      <c r="C463" s="10">
        <v>1.75</v>
      </c>
      <c r="D463" s="4">
        <f t="shared" ref="D463:E463" si="460">AVERAGE(B463:B465)</f>
        <v>14.976666666666667</v>
      </c>
      <c r="E463" s="4">
        <f t="shared" si="460"/>
        <v>1.74</v>
      </c>
    </row>
    <row r="464" spans="1:5" ht="15" x14ac:dyDescent="0.25">
      <c r="A464" s="7" t="s">
        <v>155</v>
      </c>
      <c r="B464" s="8">
        <v>14.98</v>
      </c>
      <c r="C464" s="10">
        <v>1.73</v>
      </c>
      <c r="D464" s="4">
        <f t="shared" ref="D464:E464" si="461">AVERAGE(B464:B466)</f>
        <v>15.016666666666666</v>
      </c>
      <c r="E464" s="4">
        <f t="shared" si="461"/>
        <v>1.74</v>
      </c>
    </row>
    <row r="465" spans="1:5" ht="15" x14ac:dyDescent="0.25">
      <c r="A465" s="7" t="s">
        <v>551</v>
      </c>
      <c r="B465" s="8">
        <v>15.02</v>
      </c>
      <c r="C465" s="10">
        <v>1.74</v>
      </c>
      <c r="D465" s="4">
        <f t="shared" ref="D465:E465" si="462">AVERAGE(B465:B467)</f>
        <v>15.06</v>
      </c>
      <c r="E465" s="4">
        <f t="shared" si="462"/>
        <v>1.7466666666666668</v>
      </c>
    </row>
    <row r="466" spans="1:5" ht="15" x14ac:dyDescent="0.25">
      <c r="A466" s="7" t="s">
        <v>552</v>
      </c>
      <c r="B466" s="8">
        <v>15.05</v>
      </c>
      <c r="C466" s="10">
        <v>1.75</v>
      </c>
      <c r="D466" s="4">
        <f t="shared" ref="D466:E466" si="463">AVERAGE(B466:B468)</f>
        <v>15.103333333333333</v>
      </c>
      <c r="E466" s="4">
        <f t="shared" si="463"/>
        <v>1.6133333333333333</v>
      </c>
    </row>
    <row r="467" spans="1:5" ht="15" x14ac:dyDescent="0.25">
      <c r="A467" s="7" t="s">
        <v>156</v>
      </c>
      <c r="B467" s="8">
        <v>15.11</v>
      </c>
      <c r="C467" s="10">
        <v>1.75</v>
      </c>
      <c r="D467" s="4">
        <f t="shared" ref="D467:E467" si="464">AVERAGE(B467:B469)</f>
        <v>15.153333333333331</v>
      </c>
      <c r="E467" s="4">
        <f t="shared" si="464"/>
        <v>1.4433333333333334</v>
      </c>
    </row>
    <row r="468" spans="1:5" ht="15" x14ac:dyDescent="0.25">
      <c r="A468" s="7" t="s">
        <v>553</v>
      </c>
      <c r="B468" s="8">
        <v>15.15</v>
      </c>
      <c r="C468" s="10">
        <v>1.34</v>
      </c>
      <c r="D468" s="4">
        <f t="shared" ref="D468:E468" si="465">AVERAGE(B468:B470)</f>
        <v>15.19</v>
      </c>
      <c r="E468" s="4">
        <f t="shared" si="465"/>
        <v>1.2733333333333334</v>
      </c>
    </row>
    <row r="469" spans="1:5" ht="15" x14ac:dyDescent="0.25">
      <c r="A469" s="7" t="s">
        <v>554</v>
      </c>
      <c r="B469" s="8">
        <v>15.2</v>
      </c>
      <c r="C469" s="10">
        <v>1.24</v>
      </c>
      <c r="D469" s="4">
        <f t="shared" ref="D469:E469" si="466">AVERAGE(B469:B471)</f>
        <v>15.233333333333334</v>
      </c>
      <c r="E469" s="4">
        <f t="shared" si="466"/>
        <v>1.2466666666666668</v>
      </c>
    </row>
    <row r="470" spans="1:5" ht="15" x14ac:dyDescent="0.25">
      <c r="A470" s="7" t="s">
        <v>157</v>
      </c>
      <c r="B470" s="8">
        <v>15.22</v>
      </c>
      <c r="C470" s="10">
        <v>1.24</v>
      </c>
      <c r="D470" s="4">
        <f t="shared" ref="D470:E470" si="467">AVERAGE(B470:B472)</f>
        <v>15.256666666666666</v>
      </c>
      <c r="E470" s="4">
        <f t="shared" si="467"/>
        <v>1.25</v>
      </c>
    </row>
    <row r="471" spans="1:5" ht="15" x14ac:dyDescent="0.25">
      <c r="A471" s="7" t="s">
        <v>555</v>
      </c>
      <c r="B471" s="8">
        <v>15.28</v>
      </c>
      <c r="C471" s="10">
        <v>1.26</v>
      </c>
      <c r="D471" s="4">
        <f t="shared" ref="D471:E471" si="468">AVERAGE(B471:B473)</f>
        <v>15.276666666666666</v>
      </c>
      <c r="E471" s="4">
        <f t="shared" si="468"/>
        <v>1.2566666666666666</v>
      </c>
    </row>
    <row r="472" spans="1:5" ht="15" x14ac:dyDescent="0.25">
      <c r="A472" s="7" t="s">
        <v>556</v>
      </c>
      <c r="B472" s="8">
        <v>15.27</v>
      </c>
      <c r="C472" s="10">
        <v>1.25</v>
      </c>
      <c r="D472" s="4">
        <f t="shared" ref="D472:E472" si="469">AVERAGE(B472:B474)</f>
        <v>15.293333333333331</v>
      </c>
      <c r="E472" s="4">
        <f t="shared" si="469"/>
        <v>1.2566666666666666</v>
      </c>
    </row>
    <row r="473" spans="1:5" ht="15" x14ac:dyDescent="0.25">
      <c r="A473" s="7" t="s">
        <v>158</v>
      </c>
      <c r="B473" s="8">
        <v>15.28</v>
      </c>
      <c r="C473" s="10">
        <v>1.26</v>
      </c>
      <c r="D473" s="4">
        <f t="shared" ref="D473:E473" si="470">AVERAGE(B473:B475)</f>
        <v>15.323333333333332</v>
      </c>
      <c r="E473" s="4">
        <f t="shared" si="470"/>
        <v>1.2466666666666668</v>
      </c>
    </row>
    <row r="474" spans="1:5" ht="15" x14ac:dyDescent="0.25">
      <c r="A474" s="7" t="s">
        <v>557</v>
      </c>
      <c r="B474" s="8">
        <v>15.33</v>
      </c>
      <c r="C474" s="10">
        <v>1.26</v>
      </c>
      <c r="D474" s="4">
        <f t="shared" ref="D474:E474" si="471">AVERAGE(B474:B476)</f>
        <v>15.363333333333332</v>
      </c>
      <c r="E474" s="4">
        <f t="shared" si="471"/>
        <v>1.1633333333333333</v>
      </c>
    </row>
    <row r="475" spans="1:5" ht="15" x14ac:dyDescent="0.25">
      <c r="A475" s="7" t="s">
        <v>558</v>
      </c>
      <c r="B475" s="8">
        <v>15.36</v>
      </c>
      <c r="C475" s="10">
        <v>1.22</v>
      </c>
      <c r="D475" s="4">
        <f t="shared" ref="D475:E475" si="472">AVERAGE(B475:B477)</f>
        <v>15.393333333333333</v>
      </c>
      <c r="E475" s="4">
        <f t="shared" si="472"/>
        <v>1.0866666666666667</v>
      </c>
    </row>
    <row r="476" spans="1:5" ht="15" x14ac:dyDescent="0.25">
      <c r="A476" s="7" t="s">
        <v>159</v>
      </c>
      <c r="B476" s="8">
        <v>15.4</v>
      </c>
      <c r="C476" s="10">
        <v>1.01</v>
      </c>
      <c r="D476" s="4">
        <f t="shared" ref="D476:E476" si="473">AVERAGE(B476:B478)</f>
        <v>15.413333333333334</v>
      </c>
      <c r="E476" s="4">
        <f t="shared" si="473"/>
        <v>1.0166666666666666</v>
      </c>
    </row>
    <row r="477" spans="1:5" ht="15" x14ac:dyDescent="0.25">
      <c r="A477" s="7" t="s">
        <v>559</v>
      </c>
      <c r="B477" s="8">
        <v>15.42</v>
      </c>
      <c r="C477" s="10">
        <v>1.03</v>
      </c>
      <c r="D477" s="4">
        <f t="shared" ref="D477:E477" si="474">AVERAGE(B477:B479)</f>
        <v>15.42</v>
      </c>
      <c r="E477" s="4">
        <f t="shared" si="474"/>
        <v>1.0166666666666666</v>
      </c>
    </row>
    <row r="478" spans="1:5" ht="15" x14ac:dyDescent="0.25">
      <c r="A478" s="7" t="s">
        <v>560</v>
      </c>
      <c r="B478" s="8">
        <v>15.42</v>
      </c>
      <c r="C478" s="10">
        <v>1.01</v>
      </c>
      <c r="D478" s="4">
        <f t="shared" ref="D478:E478" si="475">AVERAGE(B478:B480)</f>
        <v>15.433333333333332</v>
      </c>
      <c r="E478" s="4">
        <f t="shared" si="475"/>
        <v>1.0066666666666666</v>
      </c>
    </row>
    <row r="479" spans="1:5" ht="15" x14ac:dyDescent="0.25">
      <c r="A479" s="7" t="s">
        <v>160</v>
      </c>
      <c r="B479" s="8">
        <v>15.42</v>
      </c>
      <c r="C479" s="10">
        <v>1.01</v>
      </c>
      <c r="D479" s="4">
        <f t="shared" ref="D479:E479" si="476">AVERAGE(B479:B481)</f>
        <v>15.450000000000001</v>
      </c>
      <c r="E479" s="4">
        <f t="shared" si="476"/>
        <v>0.99666666666666659</v>
      </c>
    </row>
    <row r="480" spans="1:5" ht="15" x14ac:dyDescent="0.25">
      <c r="A480" s="7" t="s">
        <v>561</v>
      </c>
      <c r="B480" s="8">
        <v>15.46</v>
      </c>
      <c r="C480" s="10">
        <v>1</v>
      </c>
      <c r="D480" s="4">
        <f t="shared" ref="D480:E480" si="477">AVERAGE(B480:B482)</f>
        <v>15.479999999999999</v>
      </c>
      <c r="E480" s="4">
        <f t="shared" si="477"/>
        <v>0.99333333333333329</v>
      </c>
    </row>
    <row r="481" spans="1:5" ht="15" x14ac:dyDescent="0.25">
      <c r="A481" s="7" t="s">
        <v>562</v>
      </c>
      <c r="B481" s="8">
        <v>15.47</v>
      </c>
      <c r="C481" s="10">
        <v>0.98</v>
      </c>
      <c r="D481" s="4">
        <f t="shared" ref="D481:E481" si="478">AVERAGE(B481:B483)</f>
        <v>15.506666666666666</v>
      </c>
      <c r="E481" s="4">
        <f t="shared" si="478"/>
        <v>0.9966666666666667</v>
      </c>
    </row>
    <row r="482" spans="1:5" ht="15" x14ac:dyDescent="0.25">
      <c r="A482" s="7" t="s">
        <v>161</v>
      </c>
      <c r="B482" s="8">
        <v>15.51</v>
      </c>
      <c r="C482" s="10">
        <v>1</v>
      </c>
      <c r="D482" s="4">
        <f t="shared" ref="D482:E482" si="479">AVERAGE(B482:B484)</f>
        <v>15.536666666666667</v>
      </c>
      <c r="E482" s="4">
        <f t="shared" si="479"/>
        <v>1.0033333333333332</v>
      </c>
    </row>
    <row r="483" spans="1:5" ht="15" x14ac:dyDescent="0.25">
      <c r="A483" s="7" t="s">
        <v>563</v>
      </c>
      <c r="B483" s="8">
        <v>15.54</v>
      </c>
      <c r="C483" s="10">
        <v>1.01</v>
      </c>
      <c r="D483" s="4">
        <f t="shared" ref="D483:E483" si="480">AVERAGE(B483:B485)</f>
        <v>15.563333333333333</v>
      </c>
      <c r="E483" s="4">
        <f t="shared" si="480"/>
        <v>1.0033333333333332</v>
      </c>
    </row>
    <row r="484" spans="1:5" ht="15" x14ac:dyDescent="0.25">
      <c r="A484" s="7" t="s">
        <v>564</v>
      </c>
      <c r="B484" s="8">
        <v>15.56</v>
      </c>
      <c r="C484" s="10">
        <v>1</v>
      </c>
      <c r="D484" s="4">
        <f t="shared" ref="D484:E484" si="481">AVERAGE(B484:B486)</f>
        <v>15.593333333333334</v>
      </c>
      <c r="E484" s="4">
        <f t="shared" si="481"/>
        <v>1</v>
      </c>
    </row>
    <row r="485" spans="1:5" ht="15" x14ac:dyDescent="0.25">
      <c r="A485" s="7" t="s">
        <v>162</v>
      </c>
      <c r="B485" s="8">
        <v>15.59</v>
      </c>
      <c r="C485" s="10">
        <v>1</v>
      </c>
      <c r="D485" s="4">
        <f t="shared" ref="D485:E485" si="482">AVERAGE(B485:B487)</f>
        <v>15.63</v>
      </c>
      <c r="E485" s="4">
        <f t="shared" si="482"/>
        <v>1.01</v>
      </c>
    </row>
    <row r="486" spans="1:5" ht="15" x14ac:dyDescent="0.25">
      <c r="A486" s="7" t="s">
        <v>565</v>
      </c>
      <c r="B486" s="8">
        <v>15.63</v>
      </c>
      <c r="C486" s="10">
        <v>1</v>
      </c>
      <c r="D486" s="4">
        <f t="shared" ref="D486:E486" si="483">AVERAGE(B486:B488)</f>
        <v>15.663333333333334</v>
      </c>
      <c r="E486" s="4">
        <f t="shared" si="483"/>
        <v>1.0966666666666667</v>
      </c>
    </row>
    <row r="487" spans="1:5" ht="15" x14ac:dyDescent="0.25">
      <c r="A487" s="7" t="s">
        <v>566</v>
      </c>
      <c r="B487" s="8">
        <v>15.67</v>
      </c>
      <c r="C487" s="10">
        <v>1.03</v>
      </c>
      <c r="D487" s="4">
        <f t="shared" ref="D487:E487" si="484">AVERAGE(B487:B489)</f>
        <v>15.696666666666667</v>
      </c>
      <c r="E487" s="4">
        <f t="shared" si="484"/>
        <v>1.24</v>
      </c>
    </row>
    <row r="488" spans="1:5" ht="15" x14ac:dyDescent="0.25">
      <c r="A488" s="7" t="s">
        <v>163</v>
      </c>
      <c r="B488" s="8">
        <v>15.69</v>
      </c>
      <c r="C488" s="10">
        <v>1.26</v>
      </c>
      <c r="D488" s="4">
        <f t="shared" ref="D488:E488" si="485">AVERAGE(B488:B490)</f>
        <v>15.733333333333334</v>
      </c>
      <c r="E488" s="4">
        <f t="shared" si="485"/>
        <v>1.4333333333333333</v>
      </c>
    </row>
    <row r="489" spans="1:5" ht="15" x14ac:dyDescent="0.25">
      <c r="A489" s="7" t="s">
        <v>567</v>
      </c>
      <c r="B489" s="8">
        <v>15.73</v>
      </c>
      <c r="C489" s="10">
        <v>1.43</v>
      </c>
      <c r="D489" s="4">
        <f t="shared" ref="D489:E489" si="486">AVERAGE(B489:B491)</f>
        <v>15.773333333333333</v>
      </c>
      <c r="E489" s="4">
        <f t="shared" si="486"/>
        <v>1.5999999999999999</v>
      </c>
    </row>
    <row r="490" spans="1:5" ht="15" x14ac:dyDescent="0.25">
      <c r="A490" s="7" t="s">
        <v>568</v>
      </c>
      <c r="B490" s="8">
        <v>15.78</v>
      </c>
      <c r="C490" s="10">
        <v>1.61</v>
      </c>
      <c r="D490" s="4">
        <f t="shared" ref="D490:E490" si="487">AVERAGE(B490:B492)</f>
        <v>15.81</v>
      </c>
      <c r="E490" s="4">
        <f t="shared" si="487"/>
        <v>1.7666666666666666</v>
      </c>
    </row>
    <row r="491" spans="1:5" ht="15" x14ac:dyDescent="0.25">
      <c r="A491" s="7" t="s">
        <v>164</v>
      </c>
      <c r="B491" s="8">
        <v>15.81</v>
      </c>
      <c r="C491" s="10">
        <v>1.76</v>
      </c>
      <c r="D491" s="4">
        <f t="shared" ref="D491:E491" si="488">AVERAGE(B491:B493)</f>
        <v>15.836666666666666</v>
      </c>
      <c r="E491" s="4">
        <f t="shared" si="488"/>
        <v>1.95</v>
      </c>
    </row>
    <row r="492" spans="1:5" ht="15" x14ac:dyDescent="0.25">
      <c r="A492" s="7" t="s">
        <v>569</v>
      </c>
      <c r="B492" s="8">
        <v>15.84</v>
      </c>
      <c r="C492" s="10">
        <v>1.93</v>
      </c>
      <c r="D492" s="4">
        <f t="shared" ref="D492:E492" si="489">AVERAGE(B492:B494)</f>
        <v>15.866666666666667</v>
      </c>
      <c r="E492" s="4">
        <f t="shared" si="489"/>
        <v>2.1233333333333331</v>
      </c>
    </row>
    <row r="493" spans="1:5" ht="15" x14ac:dyDescent="0.25">
      <c r="A493" s="7" t="s">
        <v>570</v>
      </c>
      <c r="B493" s="8">
        <v>15.86</v>
      </c>
      <c r="C493" s="10">
        <v>2.16</v>
      </c>
      <c r="D493" s="4">
        <f t="shared" ref="D493:E493" si="490">AVERAGE(B493:B495)</f>
        <v>15.896666666666667</v>
      </c>
      <c r="E493" s="4">
        <f t="shared" si="490"/>
        <v>2.313333333333333</v>
      </c>
    </row>
    <row r="494" spans="1:5" ht="15" x14ac:dyDescent="0.25">
      <c r="A494" s="7" t="s">
        <v>165</v>
      </c>
      <c r="B494" s="8">
        <v>15.9</v>
      </c>
      <c r="C494" s="10">
        <v>2.2799999999999998</v>
      </c>
      <c r="D494" s="4">
        <f t="shared" ref="D494:E494" si="491">AVERAGE(B494:B496)</f>
        <v>15.933333333333332</v>
      </c>
      <c r="E494" s="4">
        <f t="shared" si="491"/>
        <v>2.4699999999999998</v>
      </c>
    </row>
    <row r="495" spans="1:5" ht="15" x14ac:dyDescent="0.25">
      <c r="A495" s="7" t="s">
        <v>571</v>
      </c>
      <c r="B495" s="8">
        <v>15.93</v>
      </c>
      <c r="C495" s="10">
        <v>2.5</v>
      </c>
      <c r="D495" s="4">
        <f t="shared" ref="D495:E495" si="492">AVERAGE(B495:B497)</f>
        <v>15.969999999999999</v>
      </c>
      <c r="E495" s="4">
        <f t="shared" si="492"/>
        <v>2.64</v>
      </c>
    </row>
    <row r="496" spans="1:5" ht="15" x14ac:dyDescent="0.25">
      <c r="A496" s="7" t="s">
        <v>572</v>
      </c>
      <c r="B496" s="8">
        <v>15.97</v>
      </c>
      <c r="C496" s="10">
        <v>2.63</v>
      </c>
      <c r="D496" s="4">
        <f t="shared" ref="D496:E496" si="493">AVERAGE(B496:B498)</f>
        <v>16.006666666666668</v>
      </c>
      <c r="E496" s="4">
        <f t="shared" si="493"/>
        <v>2.8066666666666666</v>
      </c>
    </row>
    <row r="497" spans="1:5" ht="15" x14ac:dyDescent="0.25">
      <c r="A497" s="7" t="s">
        <v>166</v>
      </c>
      <c r="B497" s="8">
        <v>16.010000000000002</v>
      </c>
      <c r="C497" s="10">
        <v>2.79</v>
      </c>
      <c r="D497" s="4">
        <f t="shared" ref="D497:E497" si="494">AVERAGE(B497:B499)</f>
        <v>16.043333333333333</v>
      </c>
      <c r="E497" s="4">
        <f t="shared" si="494"/>
        <v>2.9433333333333334</v>
      </c>
    </row>
    <row r="498" spans="1:5" ht="15" x14ac:dyDescent="0.25">
      <c r="A498" s="7" t="s">
        <v>573</v>
      </c>
      <c r="B498" s="8">
        <v>16.04</v>
      </c>
      <c r="C498" s="10">
        <v>3</v>
      </c>
      <c r="D498" s="4">
        <f t="shared" ref="D498:E498" si="495">AVERAGE(B498:B500)</f>
        <v>16.09</v>
      </c>
      <c r="E498" s="4">
        <f t="shared" si="495"/>
        <v>3.1</v>
      </c>
    </row>
    <row r="499" spans="1:5" ht="15" x14ac:dyDescent="0.25">
      <c r="A499" s="7" t="s">
        <v>574</v>
      </c>
      <c r="B499" s="8">
        <v>16.079999999999998</v>
      </c>
      <c r="C499" s="10">
        <v>3.04</v>
      </c>
      <c r="D499" s="4">
        <f t="shared" ref="D499:E499" si="496">AVERAGE(B499:B501)</f>
        <v>16.133333333333333</v>
      </c>
      <c r="E499" s="4">
        <f t="shared" si="496"/>
        <v>3.2666666666666671</v>
      </c>
    </row>
    <row r="500" spans="1:5" ht="15" x14ac:dyDescent="0.25">
      <c r="A500" s="7" t="s">
        <v>167</v>
      </c>
      <c r="B500" s="8">
        <v>16.149999999999999</v>
      </c>
      <c r="C500" s="10">
        <v>3.26</v>
      </c>
      <c r="D500" s="4">
        <f t="shared" ref="D500:E500" si="497">AVERAGE(B500:B502)</f>
        <v>16.170000000000002</v>
      </c>
      <c r="E500" s="4">
        <f t="shared" si="497"/>
        <v>3.4599999999999995</v>
      </c>
    </row>
    <row r="501" spans="1:5" ht="15" x14ac:dyDescent="0.25">
      <c r="A501" s="7" t="s">
        <v>575</v>
      </c>
      <c r="B501" s="8">
        <v>16.170000000000002</v>
      </c>
      <c r="C501" s="10">
        <v>3.5</v>
      </c>
      <c r="D501" s="4">
        <f t="shared" ref="D501:E501" si="498">AVERAGE(B501:B503)</f>
        <v>16.213333333333335</v>
      </c>
      <c r="E501" s="4">
        <f t="shared" si="498"/>
        <v>3.6333333333333333</v>
      </c>
    </row>
    <row r="502" spans="1:5" ht="15" x14ac:dyDescent="0.25">
      <c r="A502" s="7" t="s">
        <v>576</v>
      </c>
      <c r="B502" s="8">
        <v>16.190000000000001</v>
      </c>
      <c r="C502" s="10">
        <v>3.62</v>
      </c>
      <c r="D502" s="4">
        <f t="shared" ref="D502:E502" si="499">AVERAGE(B502:B504)</f>
        <v>16.260000000000002</v>
      </c>
      <c r="E502" s="4">
        <f t="shared" si="499"/>
        <v>3.8000000000000003</v>
      </c>
    </row>
    <row r="503" spans="1:5" ht="15" x14ac:dyDescent="0.25">
      <c r="A503" s="7" t="s">
        <v>168</v>
      </c>
      <c r="B503" s="8">
        <v>16.28</v>
      </c>
      <c r="C503" s="10">
        <v>3.78</v>
      </c>
      <c r="D503" s="4">
        <f t="shared" ref="D503:E503" si="500">AVERAGE(B503:B505)</f>
        <v>16.316666666666666</v>
      </c>
      <c r="E503" s="4">
        <f t="shared" si="500"/>
        <v>3.98</v>
      </c>
    </row>
    <row r="504" spans="1:5" ht="15" x14ac:dyDescent="0.25">
      <c r="A504" s="7" t="s">
        <v>577</v>
      </c>
      <c r="B504" s="8">
        <v>16.309999999999999</v>
      </c>
      <c r="C504" s="10">
        <v>4</v>
      </c>
      <c r="D504" s="4">
        <f t="shared" ref="D504:E504" si="501">AVERAGE(B504:B506)</f>
        <v>16.36</v>
      </c>
      <c r="E504" s="4">
        <f t="shared" si="501"/>
        <v>4.1499999999999995</v>
      </c>
    </row>
    <row r="505" spans="1:5" ht="15" x14ac:dyDescent="0.25">
      <c r="A505" s="7" t="s">
        <v>578</v>
      </c>
      <c r="B505" s="8">
        <v>16.36</v>
      </c>
      <c r="C505" s="10">
        <v>4.16</v>
      </c>
      <c r="D505" s="4">
        <f t="shared" ref="D505:E505" si="502">AVERAGE(B505:B507)</f>
        <v>16.416666666666668</v>
      </c>
      <c r="E505" s="4">
        <f t="shared" si="502"/>
        <v>4.3133333333333335</v>
      </c>
    </row>
    <row r="506" spans="1:5" ht="15" x14ac:dyDescent="0.25">
      <c r="A506" s="7" t="s">
        <v>169</v>
      </c>
      <c r="B506" s="8">
        <v>16.41</v>
      </c>
      <c r="C506" s="10">
        <v>4.29</v>
      </c>
      <c r="D506" s="4">
        <f t="shared" ref="D506:E506" si="503">AVERAGE(B506:B508)</f>
        <v>16.476666666666667</v>
      </c>
      <c r="E506" s="4">
        <f t="shared" si="503"/>
        <v>4.456666666666667</v>
      </c>
    </row>
    <row r="507" spans="1:5" ht="15" x14ac:dyDescent="0.25">
      <c r="A507" s="7" t="s">
        <v>579</v>
      </c>
      <c r="B507" s="8">
        <v>16.48</v>
      </c>
      <c r="C507" s="10">
        <v>4.49</v>
      </c>
      <c r="D507" s="4">
        <f t="shared" ref="D507:E507" si="504">AVERAGE(B507:B509)</f>
        <v>16.549999999999997</v>
      </c>
      <c r="E507" s="4">
        <f t="shared" si="504"/>
        <v>4.623333333333334</v>
      </c>
    </row>
    <row r="508" spans="1:5" ht="15" x14ac:dyDescent="0.25">
      <c r="A508" s="7" t="s">
        <v>580</v>
      </c>
      <c r="B508" s="8">
        <v>16.54</v>
      </c>
      <c r="C508" s="10">
        <v>4.59</v>
      </c>
      <c r="D508" s="4">
        <f t="shared" ref="D508:E508" si="505">AVERAGE(B508:B510)</f>
        <v>16.606666666666666</v>
      </c>
      <c r="E508" s="4">
        <f t="shared" si="505"/>
        <v>4.7733333333333334</v>
      </c>
    </row>
    <row r="509" spans="1:5" ht="15" x14ac:dyDescent="0.25">
      <c r="A509" s="7" t="s">
        <v>170</v>
      </c>
      <c r="B509" s="8">
        <v>16.63</v>
      </c>
      <c r="C509" s="10">
        <v>4.79</v>
      </c>
      <c r="D509" s="4">
        <f t="shared" ref="D509:E509" si="506">AVERAGE(B509:B511)</f>
        <v>16.666666666666668</v>
      </c>
      <c r="E509" s="4">
        <f t="shared" si="506"/>
        <v>4.9066666666666672</v>
      </c>
    </row>
    <row r="510" spans="1:5" ht="15" x14ac:dyDescent="0.25">
      <c r="A510" s="7" t="s">
        <v>581</v>
      </c>
      <c r="B510" s="8">
        <v>16.649999999999999</v>
      </c>
      <c r="C510" s="10">
        <v>4.9400000000000004</v>
      </c>
      <c r="D510" s="4">
        <f t="shared" ref="D510:E510" si="507">AVERAGE(B510:B512)</f>
        <v>16.713333333333335</v>
      </c>
      <c r="E510" s="4">
        <f t="shared" si="507"/>
        <v>5.0566666666666666</v>
      </c>
    </row>
    <row r="511" spans="1:5" ht="15" x14ac:dyDescent="0.25">
      <c r="A511" s="7" t="s">
        <v>582</v>
      </c>
      <c r="B511" s="8">
        <v>16.72</v>
      </c>
      <c r="C511" s="10">
        <v>4.99</v>
      </c>
      <c r="D511" s="4">
        <f t="shared" ref="D511:E511" si="508">AVERAGE(B511:B513)</f>
        <v>16.77333333333333</v>
      </c>
      <c r="E511" s="4">
        <f t="shared" si="508"/>
        <v>5.16</v>
      </c>
    </row>
    <row r="512" spans="1:5" ht="15" x14ac:dyDescent="0.25">
      <c r="A512" s="7" t="s">
        <v>171</v>
      </c>
      <c r="B512" s="8">
        <v>16.77</v>
      </c>
      <c r="C512" s="10">
        <v>5.24</v>
      </c>
      <c r="D512" s="4">
        <f t="shared" ref="D512:E512" si="509">AVERAGE(B512:B514)</f>
        <v>16.823333333333334</v>
      </c>
      <c r="E512" s="4">
        <f t="shared" si="509"/>
        <v>5.246666666666667</v>
      </c>
    </row>
    <row r="513" spans="1:5" ht="15" x14ac:dyDescent="0.25">
      <c r="A513" s="7" t="s">
        <v>583</v>
      </c>
      <c r="B513" s="8">
        <v>16.829999999999998</v>
      </c>
      <c r="C513" s="10">
        <v>5.25</v>
      </c>
      <c r="D513" s="4">
        <f t="shared" ref="D513:E513" si="510">AVERAGE(B513:B515)</f>
        <v>16.876666666666669</v>
      </c>
      <c r="E513" s="4">
        <f t="shared" si="510"/>
        <v>5.25</v>
      </c>
    </row>
    <row r="514" spans="1:5" ht="15" x14ac:dyDescent="0.25">
      <c r="A514" s="7" t="s">
        <v>584</v>
      </c>
      <c r="B514" s="8">
        <v>16.87</v>
      </c>
      <c r="C514" s="10">
        <v>5.25</v>
      </c>
      <c r="D514" s="4">
        <f t="shared" ref="D514:E514" si="511">AVERAGE(B514:B516)</f>
        <v>16.926666666666666</v>
      </c>
      <c r="E514" s="4">
        <f t="shared" si="511"/>
        <v>5.25</v>
      </c>
    </row>
    <row r="515" spans="1:5" ht="15" x14ac:dyDescent="0.25">
      <c r="A515" s="7" t="s">
        <v>172</v>
      </c>
      <c r="B515" s="8">
        <v>16.93</v>
      </c>
      <c r="C515" s="10">
        <v>5.25</v>
      </c>
      <c r="D515" s="4">
        <f t="shared" ref="D515:E515" si="512">AVERAGE(B515:B517)</f>
        <v>16.986666666666665</v>
      </c>
      <c r="E515" s="4">
        <f t="shared" si="512"/>
        <v>5.246666666666667</v>
      </c>
    </row>
    <row r="516" spans="1:5" ht="15" x14ac:dyDescent="0.25">
      <c r="A516" s="7" t="s">
        <v>585</v>
      </c>
      <c r="B516" s="8">
        <v>16.98</v>
      </c>
      <c r="C516" s="10">
        <v>5.25</v>
      </c>
      <c r="D516" s="4">
        <f t="shared" ref="D516:E516" si="513">AVERAGE(B516:B518)</f>
        <v>17.040000000000003</v>
      </c>
      <c r="E516" s="4">
        <f t="shared" si="513"/>
        <v>5.246666666666667</v>
      </c>
    </row>
    <row r="517" spans="1:5" ht="15" x14ac:dyDescent="0.25">
      <c r="A517" s="7" t="s">
        <v>586</v>
      </c>
      <c r="B517" s="8">
        <v>17.05</v>
      </c>
      <c r="C517" s="10">
        <v>5.24</v>
      </c>
      <c r="D517" s="4">
        <f t="shared" ref="D517:E517" si="514">AVERAGE(B517:B519)</f>
        <v>17.096666666666668</v>
      </c>
      <c r="E517" s="4">
        <f t="shared" si="514"/>
        <v>5.25</v>
      </c>
    </row>
    <row r="518" spans="1:5" ht="15" x14ac:dyDescent="0.25">
      <c r="A518" s="7" t="s">
        <v>173</v>
      </c>
      <c r="B518" s="8">
        <v>17.09</v>
      </c>
      <c r="C518" s="10">
        <v>5.25</v>
      </c>
      <c r="D518" s="4">
        <f t="shared" ref="D518:E518" si="515">AVERAGE(B518:B520)</f>
        <v>17.153333333333332</v>
      </c>
      <c r="E518" s="4">
        <f t="shared" si="515"/>
        <v>5.2566666666666668</v>
      </c>
    </row>
    <row r="519" spans="1:5" ht="15" x14ac:dyDescent="0.25">
      <c r="A519" s="7" t="s">
        <v>587</v>
      </c>
      <c r="B519" s="8">
        <v>17.149999999999999</v>
      </c>
      <c r="C519" s="10">
        <v>5.26</v>
      </c>
      <c r="D519" s="4">
        <f t="shared" ref="D519:E519" si="516">AVERAGE(B519:B521)</f>
        <v>17.213333333333335</v>
      </c>
      <c r="E519" s="4">
        <f t="shared" si="516"/>
        <v>5.2566666666666668</v>
      </c>
    </row>
    <row r="520" spans="1:5" ht="15" x14ac:dyDescent="0.25">
      <c r="A520" s="7" t="s">
        <v>588</v>
      </c>
      <c r="B520" s="8">
        <v>17.22</v>
      </c>
      <c r="C520" s="10">
        <v>5.26</v>
      </c>
      <c r="D520" s="4">
        <f t="shared" ref="D520:E520" si="517">AVERAGE(B520:B522)</f>
        <v>17.276666666666667</v>
      </c>
      <c r="E520" s="4">
        <f t="shared" si="517"/>
        <v>5.253333333333333</v>
      </c>
    </row>
    <row r="521" spans="1:5" ht="15" x14ac:dyDescent="0.25">
      <c r="A521" s="7" t="s">
        <v>174</v>
      </c>
      <c r="B521" s="8">
        <v>17.27</v>
      </c>
      <c r="C521" s="10">
        <v>5.25</v>
      </c>
      <c r="D521" s="4">
        <f t="shared" ref="D521:E521" si="518">AVERAGE(B521:B523)</f>
        <v>17.343333333333334</v>
      </c>
      <c r="E521" s="4">
        <f t="shared" si="518"/>
        <v>5.25</v>
      </c>
    </row>
    <row r="522" spans="1:5" ht="15" x14ac:dyDescent="0.25">
      <c r="A522" s="7" t="s">
        <v>589</v>
      </c>
      <c r="B522" s="8">
        <v>17.34</v>
      </c>
      <c r="C522" s="10">
        <v>5.25</v>
      </c>
      <c r="D522" s="4">
        <f t="shared" ref="D522:E522" si="519">AVERAGE(B522:B524)</f>
        <v>17.40666666666667</v>
      </c>
      <c r="E522" s="4">
        <f t="shared" si="519"/>
        <v>5.253333333333333</v>
      </c>
    </row>
    <row r="523" spans="1:5" ht="15" x14ac:dyDescent="0.25">
      <c r="A523" s="7" t="s">
        <v>590</v>
      </c>
      <c r="B523" s="8">
        <v>17.420000000000002</v>
      </c>
      <c r="C523" s="10">
        <v>5.25</v>
      </c>
      <c r="D523" s="4">
        <f t="shared" ref="D523:E523" si="520">AVERAGE(B523:B525)</f>
        <v>17.46</v>
      </c>
      <c r="E523" s="4">
        <f t="shared" si="520"/>
        <v>5.1766666666666667</v>
      </c>
    </row>
    <row r="524" spans="1:5" ht="15" x14ac:dyDescent="0.25">
      <c r="A524" s="7" t="s">
        <v>175</v>
      </c>
      <c r="B524" s="8">
        <v>17.46</v>
      </c>
      <c r="C524" s="10">
        <v>5.26</v>
      </c>
      <c r="D524" s="4">
        <f t="shared" ref="D524:E524" si="521">AVERAGE(B524:B526)</f>
        <v>17.503333333333334</v>
      </c>
      <c r="E524" s="4">
        <f t="shared" si="521"/>
        <v>5.0733333333333333</v>
      </c>
    </row>
    <row r="525" spans="1:5" ht="15" x14ac:dyDescent="0.25">
      <c r="A525" s="7" t="s">
        <v>591</v>
      </c>
      <c r="B525" s="8">
        <v>17.5</v>
      </c>
      <c r="C525" s="10">
        <v>5.0199999999999996</v>
      </c>
      <c r="D525" s="4">
        <f t="shared" ref="D525:E525" si="522">AVERAGE(B525:B527)</f>
        <v>17.543333333333333</v>
      </c>
      <c r="E525" s="4">
        <f t="shared" si="522"/>
        <v>4.9066666666666672</v>
      </c>
    </row>
    <row r="526" spans="1:5" ht="15" x14ac:dyDescent="0.25">
      <c r="A526" s="7" t="s">
        <v>592</v>
      </c>
      <c r="B526" s="8">
        <v>17.55</v>
      </c>
      <c r="C526" s="10">
        <v>4.9400000000000004</v>
      </c>
      <c r="D526" s="4">
        <f t="shared" ref="D526:E526" si="523">AVERAGE(B526:B528)</f>
        <v>17.586666666666662</v>
      </c>
      <c r="E526" s="4">
        <f t="shared" si="523"/>
        <v>4.7299999999999995</v>
      </c>
    </row>
    <row r="527" spans="1:5" ht="15" x14ac:dyDescent="0.25">
      <c r="A527" s="7" t="s">
        <v>176</v>
      </c>
      <c r="B527" s="8">
        <v>17.579999999999998</v>
      </c>
      <c r="C527" s="10">
        <v>4.76</v>
      </c>
      <c r="D527" s="4">
        <f t="shared" ref="D527:E527" si="524">AVERAGE(B527:B529)</f>
        <v>17.633333333333329</v>
      </c>
      <c r="E527" s="4">
        <f t="shared" si="524"/>
        <v>4.496666666666667</v>
      </c>
    </row>
    <row r="528" spans="1:5" ht="15" x14ac:dyDescent="0.25">
      <c r="A528" s="7" t="s">
        <v>593</v>
      </c>
      <c r="B528" s="8">
        <v>17.63</v>
      </c>
      <c r="C528" s="10">
        <v>4.49</v>
      </c>
      <c r="D528" s="4">
        <f t="shared" ref="D528:E528" si="525">AVERAGE(B528:B530)</f>
        <v>17.686666666666667</v>
      </c>
      <c r="E528" s="4">
        <f t="shared" si="525"/>
        <v>4.2233333333333336</v>
      </c>
    </row>
    <row r="529" spans="1:5" ht="15" x14ac:dyDescent="0.25">
      <c r="A529" s="7" t="s">
        <v>594</v>
      </c>
      <c r="B529" s="8">
        <v>17.690000000000001</v>
      </c>
      <c r="C529" s="10">
        <v>4.24</v>
      </c>
      <c r="D529" s="4">
        <f t="shared" ref="D529:E529" si="526">AVERAGE(B529:B531)</f>
        <v>17.743333333333336</v>
      </c>
      <c r="E529" s="4">
        <f t="shared" si="526"/>
        <v>3.72</v>
      </c>
    </row>
    <row r="530" spans="1:5" ht="15" x14ac:dyDescent="0.25">
      <c r="A530" s="7" t="s">
        <v>177</v>
      </c>
      <c r="B530" s="8">
        <v>17.739999999999998</v>
      </c>
      <c r="C530" s="10">
        <v>3.94</v>
      </c>
      <c r="D530" s="4">
        <f t="shared" ref="D530:E530" si="527">AVERAGE(B530:B532)</f>
        <v>17.806666666666668</v>
      </c>
      <c r="E530" s="4">
        <f t="shared" si="527"/>
        <v>3.1766666666666663</v>
      </c>
    </row>
    <row r="531" spans="1:5" ht="15" x14ac:dyDescent="0.25">
      <c r="A531" s="7" t="s">
        <v>595</v>
      </c>
      <c r="B531" s="8">
        <v>17.8</v>
      </c>
      <c r="C531" s="10">
        <v>2.98</v>
      </c>
      <c r="D531" s="4">
        <f t="shared" ref="D531:E531" si="528">AVERAGE(B531:B533)</f>
        <v>17.863333333333333</v>
      </c>
      <c r="E531" s="4">
        <f t="shared" si="528"/>
        <v>2.6233333333333331</v>
      </c>
    </row>
    <row r="532" spans="1:5" ht="15" x14ac:dyDescent="0.25">
      <c r="A532" s="7" t="s">
        <v>596</v>
      </c>
      <c r="B532" s="8">
        <v>17.88</v>
      </c>
      <c r="C532" s="10">
        <v>2.61</v>
      </c>
      <c r="D532" s="4">
        <f t="shared" ref="D532:E532" si="529">AVERAGE(B532:B534)</f>
        <v>17.923333333333332</v>
      </c>
      <c r="E532" s="4">
        <f t="shared" si="529"/>
        <v>2.2899999999999996</v>
      </c>
    </row>
    <row r="533" spans="1:5" ht="15" x14ac:dyDescent="0.25">
      <c r="A533" s="7" t="s">
        <v>178</v>
      </c>
      <c r="B533" s="8">
        <v>17.91</v>
      </c>
      <c r="C533" s="10">
        <v>2.2799999999999998</v>
      </c>
      <c r="D533" s="4">
        <f t="shared" ref="D533:E533" si="530">AVERAGE(B533:B535)</f>
        <v>17.976666666666667</v>
      </c>
      <c r="E533" s="4">
        <f t="shared" si="530"/>
        <v>2.0866666666666664</v>
      </c>
    </row>
    <row r="534" spans="1:5" ht="15" x14ac:dyDescent="0.25">
      <c r="A534" s="7" t="s">
        <v>597</v>
      </c>
      <c r="B534" s="8">
        <v>17.98</v>
      </c>
      <c r="C534" s="10">
        <v>1.98</v>
      </c>
      <c r="D534" s="4">
        <f t="shared" ref="D534:E534" si="531">AVERAGE(B534:B536)</f>
        <v>18.04</v>
      </c>
      <c r="E534" s="4">
        <f t="shared" si="531"/>
        <v>1.9966666666666668</v>
      </c>
    </row>
    <row r="535" spans="1:5" ht="15" x14ac:dyDescent="0.25">
      <c r="A535" s="7" t="s">
        <v>598</v>
      </c>
      <c r="B535" s="8">
        <v>18.04</v>
      </c>
      <c r="C535" s="10">
        <v>2</v>
      </c>
      <c r="D535" s="4">
        <f t="shared" ref="D535:E535" si="532">AVERAGE(B535:B537)</f>
        <v>18.106666666666666</v>
      </c>
      <c r="E535" s="4">
        <f t="shared" si="532"/>
        <v>2.0033333333333334</v>
      </c>
    </row>
    <row r="536" spans="1:5" ht="15" x14ac:dyDescent="0.25">
      <c r="A536" s="7" t="s">
        <v>179</v>
      </c>
      <c r="B536" s="8">
        <v>18.100000000000001</v>
      </c>
      <c r="C536" s="10">
        <v>2.0099999999999998</v>
      </c>
      <c r="D536" s="4">
        <f t="shared" ref="D536:E536" si="533">AVERAGE(B536:B538)</f>
        <v>18.16</v>
      </c>
      <c r="E536" s="4">
        <f t="shared" si="533"/>
        <v>1.9400000000000002</v>
      </c>
    </row>
    <row r="537" spans="1:5" ht="15" x14ac:dyDescent="0.25">
      <c r="A537" s="7" t="s">
        <v>599</v>
      </c>
      <c r="B537" s="8">
        <v>18.18</v>
      </c>
      <c r="C537" s="10">
        <v>2</v>
      </c>
      <c r="D537" s="4">
        <f t="shared" ref="D537:E537" si="534">AVERAGE(B537:B539)</f>
        <v>18.209999999999997</v>
      </c>
      <c r="E537" s="4">
        <f t="shared" si="534"/>
        <v>1.5933333333333335</v>
      </c>
    </row>
    <row r="538" spans="1:5" ht="15" x14ac:dyDescent="0.25">
      <c r="A538" s="7" t="s">
        <v>600</v>
      </c>
      <c r="B538" s="8">
        <v>18.2</v>
      </c>
      <c r="C538" s="10">
        <v>1.81</v>
      </c>
      <c r="D538" s="4">
        <f t="shared" ref="D538:E538" si="535">AVERAGE(B538:B540)</f>
        <v>18.253333333333334</v>
      </c>
      <c r="E538" s="4">
        <f t="shared" si="535"/>
        <v>1.0566666666666669</v>
      </c>
    </row>
    <row r="539" spans="1:5" ht="15" x14ac:dyDescent="0.25">
      <c r="A539" s="7" t="s">
        <v>180</v>
      </c>
      <c r="B539" s="8">
        <v>18.25</v>
      </c>
      <c r="C539" s="10">
        <v>0.97</v>
      </c>
      <c r="D539" s="4">
        <f t="shared" ref="D539:E539" si="536">AVERAGE(B539:B541)</f>
        <v>18.313333333333333</v>
      </c>
      <c r="E539" s="4">
        <f t="shared" si="536"/>
        <v>0.5066666666666666</v>
      </c>
    </row>
    <row r="540" spans="1:5" ht="15" x14ac:dyDescent="0.25">
      <c r="A540" s="7" t="s">
        <v>601</v>
      </c>
      <c r="B540" s="8">
        <v>18.309999999999999</v>
      </c>
      <c r="C540" s="10">
        <v>0.39</v>
      </c>
      <c r="D540" s="4">
        <f t="shared" ref="D540:E540" si="537">AVERAGE(B540:B542)</f>
        <v>18.36</v>
      </c>
      <c r="E540" s="4">
        <f t="shared" si="537"/>
        <v>0.23333333333333336</v>
      </c>
    </row>
    <row r="541" spans="1:5" ht="15" x14ac:dyDescent="0.25">
      <c r="A541" s="7" t="s">
        <v>602</v>
      </c>
      <c r="B541" s="8">
        <v>18.38</v>
      </c>
      <c r="C541" s="10">
        <v>0.16</v>
      </c>
      <c r="D541" s="4">
        <f t="shared" ref="D541:E541" si="538">AVERAGE(B541:B543)</f>
        <v>18.403333333333332</v>
      </c>
      <c r="E541" s="4">
        <f t="shared" si="538"/>
        <v>0.17666666666666667</v>
      </c>
    </row>
    <row r="542" spans="1:5" ht="15" x14ac:dyDescent="0.25">
      <c r="A542" s="7" t="s">
        <v>181</v>
      </c>
      <c r="B542" s="8">
        <v>18.39</v>
      </c>
      <c r="C542" s="10">
        <v>0.15</v>
      </c>
      <c r="D542" s="4">
        <f t="shared" ref="D542:E542" si="539">AVERAGE(B542:B544)</f>
        <v>18.443333333333332</v>
      </c>
      <c r="E542" s="4">
        <f t="shared" si="539"/>
        <v>0.18333333333333335</v>
      </c>
    </row>
    <row r="543" spans="1:5" ht="15" x14ac:dyDescent="0.25">
      <c r="A543" s="7" t="s">
        <v>603</v>
      </c>
      <c r="B543" s="8">
        <v>18.440000000000001</v>
      </c>
      <c r="C543" s="10">
        <v>0.22</v>
      </c>
      <c r="D543" s="4">
        <f t="shared" ref="D543:E543" si="540">AVERAGE(B543:B545)</f>
        <v>18.486666666666665</v>
      </c>
      <c r="E543" s="4">
        <f t="shared" si="540"/>
        <v>0.18333333333333335</v>
      </c>
    </row>
    <row r="544" spans="1:5" ht="15" x14ac:dyDescent="0.25">
      <c r="A544" s="7" t="s">
        <v>604</v>
      </c>
      <c r="B544" s="8">
        <v>18.5</v>
      </c>
      <c r="C544" s="10">
        <v>0.18</v>
      </c>
      <c r="D544" s="4">
        <f t="shared" ref="D544:E544" si="541">AVERAGE(B544:B546)</f>
        <v>18.516666666666666</v>
      </c>
      <c r="E544" s="4">
        <f t="shared" si="541"/>
        <v>0.17</v>
      </c>
    </row>
    <row r="545" spans="1:5" ht="15" x14ac:dyDescent="0.25">
      <c r="A545" s="7" t="s">
        <v>182</v>
      </c>
      <c r="B545" s="8">
        <v>18.52</v>
      </c>
      <c r="C545" s="10">
        <v>0.15</v>
      </c>
      <c r="D545" s="4">
        <f t="shared" ref="D545:E545" si="542">AVERAGE(B545:B547)</f>
        <v>18.533333333333331</v>
      </c>
      <c r="E545" s="4">
        <f t="shared" si="542"/>
        <v>0.17999999999999997</v>
      </c>
    </row>
    <row r="546" spans="1:5" ht="15" x14ac:dyDescent="0.25">
      <c r="A546" s="7" t="s">
        <v>605</v>
      </c>
      <c r="B546" s="8">
        <v>18.53</v>
      </c>
      <c r="C546" s="10">
        <v>0.18</v>
      </c>
      <c r="D546" s="4">
        <f t="shared" ref="D546:E546" si="543">AVERAGE(B546:B548)</f>
        <v>18.556666666666668</v>
      </c>
      <c r="E546" s="4">
        <f t="shared" si="543"/>
        <v>0.18333333333333335</v>
      </c>
    </row>
    <row r="547" spans="1:5" ht="15" x14ac:dyDescent="0.25">
      <c r="A547" s="7" t="s">
        <v>606</v>
      </c>
      <c r="B547" s="8">
        <v>18.55</v>
      </c>
      <c r="C547" s="10">
        <v>0.21</v>
      </c>
      <c r="D547" s="4">
        <f t="shared" ref="D547:E547" si="544">AVERAGE(B547:B549)</f>
        <v>18.603333333333335</v>
      </c>
      <c r="E547" s="4">
        <f t="shared" si="544"/>
        <v>0.17666666666666667</v>
      </c>
    </row>
    <row r="548" spans="1:5" ht="15" x14ac:dyDescent="0.25">
      <c r="A548" s="7" t="s">
        <v>183</v>
      </c>
      <c r="B548" s="8">
        <v>18.59</v>
      </c>
      <c r="C548" s="10">
        <v>0.16</v>
      </c>
      <c r="D548" s="4">
        <f t="shared" ref="D548:E548" si="545">AVERAGE(B548:B550)</f>
        <v>18.653333333333336</v>
      </c>
      <c r="E548" s="4">
        <f t="shared" si="545"/>
        <v>0.15666666666666665</v>
      </c>
    </row>
    <row r="549" spans="1:5" ht="15" x14ac:dyDescent="0.25">
      <c r="A549" s="7" t="s">
        <v>607</v>
      </c>
      <c r="B549" s="8">
        <v>18.670000000000002</v>
      </c>
      <c r="C549" s="10">
        <v>0.16</v>
      </c>
      <c r="D549" s="4">
        <f t="shared" ref="D549:E549" si="546">AVERAGE(B549:B551)</f>
        <v>18.703333333333333</v>
      </c>
      <c r="E549" s="4">
        <f t="shared" si="546"/>
        <v>0.14333333333333334</v>
      </c>
    </row>
    <row r="550" spans="1:5" ht="15" x14ac:dyDescent="0.25">
      <c r="A550" s="7" t="s">
        <v>608</v>
      </c>
      <c r="B550" s="8">
        <v>18.7</v>
      </c>
      <c r="C550" s="10">
        <v>0.15</v>
      </c>
      <c r="D550" s="4">
        <f t="shared" ref="D550:E550" si="547">AVERAGE(B550:B552)</f>
        <v>18.746666666666666</v>
      </c>
      <c r="E550" s="4">
        <f t="shared" si="547"/>
        <v>0.13</v>
      </c>
    </row>
    <row r="551" spans="1:5" ht="15" x14ac:dyDescent="0.25">
      <c r="A551" s="7" t="s">
        <v>184</v>
      </c>
      <c r="B551" s="8">
        <v>18.739999999999998</v>
      </c>
      <c r="C551" s="10">
        <v>0.12</v>
      </c>
      <c r="D551" s="4">
        <f t="shared" ref="D551:E551" si="548">AVERAGE(B551:B553)</f>
        <v>18.793333333333333</v>
      </c>
      <c r="E551" s="4">
        <f t="shared" si="548"/>
        <v>0.12</v>
      </c>
    </row>
    <row r="552" spans="1:5" ht="15" x14ac:dyDescent="0.25">
      <c r="A552" s="7" t="s">
        <v>609</v>
      </c>
      <c r="B552" s="8">
        <v>18.8</v>
      </c>
      <c r="C552" s="10">
        <v>0.12</v>
      </c>
      <c r="D552" s="4">
        <f t="shared" ref="D552:E552" si="549">AVERAGE(B552:B554)</f>
        <v>18.84</v>
      </c>
      <c r="E552" s="4">
        <f t="shared" si="549"/>
        <v>0.11666666666666665</v>
      </c>
    </row>
    <row r="553" spans="1:5" ht="15" x14ac:dyDescent="0.25">
      <c r="A553" s="7" t="s">
        <v>610</v>
      </c>
      <c r="B553" s="8">
        <v>18.84</v>
      </c>
      <c r="C553" s="10">
        <v>0.12</v>
      </c>
      <c r="D553" s="4">
        <f t="shared" ref="D553:E553" si="550">AVERAGE(B553:B555)</f>
        <v>18.876666666666665</v>
      </c>
      <c r="E553" s="4">
        <f t="shared" si="550"/>
        <v>0.12</v>
      </c>
    </row>
    <row r="554" spans="1:5" ht="15" x14ac:dyDescent="0.25">
      <c r="A554" s="7" t="s">
        <v>185</v>
      </c>
      <c r="B554" s="8">
        <v>18.88</v>
      </c>
      <c r="C554" s="10">
        <v>0.11</v>
      </c>
      <c r="D554" s="4">
        <f t="shared" ref="D554:E554" si="551">AVERAGE(B554:B556)</f>
        <v>18.900000000000002</v>
      </c>
      <c r="E554" s="4">
        <f t="shared" si="551"/>
        <v>0.13333333333333333</v>
      </c>
    </row>
    <row r="555" spans="1:5" ht="15" x14ac:dyDescent="0.25">
      <c r="A555" s="7" t="s">
        <v>611</v>
      </c>
      <c r="B555" s="8">
        <v>18.91</v>
      </c>
      <c r="C555" s="10">
        <v>0.13</v>
      </c>
      <c r="D555" s="4">
        <f t="shared" ref="D555:E555" si="552">AVERAGE(B555:B557)</f>
        <v>18.926666666666666</v>
      </c>
      <c r="E555" s="4">
        <f t="shared" si="552"/>
        <v>0.16333333333333336</v>
      </c>
    </row>
    <row r="556" spans="1:5" ht="15" x14ac:dyDescent="0.25">
      <c r="A556" s="7" t="s">
        <v>612</v>
      </c>
      <c r="B556" s="8">
        <v>18.91</v>
      </c>
      <c r="C556" s="10">
        <v>0.16</v>
      </c>
      <c r="D556" s="4">
        <f t="shared" ref="D556:E556" si="553">AVERAGE(B556:B558)</f>
        <v>18.960000000000004</v>
      </c>
      <c r="E556" s="4">
        <f t="shared" si="553"/>
        <v>0.18666666666666668</v>
      </c>
    </row>
    <row r="557" spans="1:5" ht="15" x14ac:dyDescent="0.25">
      <c r="A557" s="7" t="s">
        <v>186</v>
      </c>
      <c r="B557" s="8">
        <v>18.96</v>
      </c>
      <c r="C557" s="10">
        <v>0.2</v>
      </c>
      <c r="D557" s="4">
        <f t="shared" ref="D557:E557" si="554">AVERAGE(B557:B559)</f>
        <v>19</v>
      </c>
      <c r="E557" s="4">
        <f t="shared" si="554"/>
        <v>0.19333333333333336</v>
      </c>
    </row>
    <row r="558" spans="1:5" ht="15" x14ac:dyDescent="0.25">
      <c r="A558" s="7" t="s">
        <v>613</v>
      </c>
      <c r="B558" s="8">
        <v>19.010000000000002</v>
      </c>
      <c r="C558" s="10">
        <v>0.2</v>
      </c>
      <c r="D558" s="4">
        <f t="shared" ref="D558:E558" si="555">AVERAGE(B558:B560)</f>
        <v>19.026666666666667</v>
      </c>
      <c r="E558" s="4">
        <f t="shared" si="555"/>
        <v>0.18666666666666668</v>
      </c>
    </row>
    <row r="559" spans="1:5" ht="15" x14ac:dyDescent="0.25">
      <c r="A559" s="7" t="s">
        <v>614</v>
      </c>
      <c r="B559" s="8">
        <v>19.03</v>
      </c>
      <c r="C559" s="10">
        <v>0.18</v>
      </c>
      <c r="D559" s="4">
        <f t="shared" ref="D559:E559" si="556">AVERAGE(B559:B561)</f>
        <v>19.059999999999999</v>
      </c>
      <c r="E559" s="4">
        <f t="shared" si="556"/>
        <v>0.18333333333333335</v>
      </c>
    </row>
    <row r="560" spans="1:5" ht="15" x14ac:dyDescent="0.25">
      <c r="A560" s="7" t="s">
        <v>187</v>
      </c>
      <c r="B560" s="8">
        <v>19.04</v>
      </c>
      <c r="C560" s="10">
        <v>0.18</v>
      </c>
      <c r="D560" s="4">
        <f t="shared" ref="D560:E560" si="557">AVERAGE(B560:B562)</f>
        <v>19.086666666666666</v>
      </c>
      <c r="E560" s="4">
        <f t="shared" si="557"/>
        <v>0.18666666666666668</v>
      </c>
    </row>
    <row r="561" spans="1:5" ht="15" x14ac:dyDescent="0.25">
      <c r="A561" s="7" t="s">
        <v>615</v>
      </c>
      <c r="B561" s="8">
        <v>19.11</v>
      </c>
      <c r="C561" s="10">
        <v>0.19</v>
      </c>
      <c r="D561" s="4">
        <f t="shared" ref="D561:E561" si="558">AVERAGE(B561:B563)</f>
        <v>19.14</v>
      </c>
      <c r="E561" s="4">
        <f t="shared" si="558"/>
        <v>0.19000000000000003</v>
      </c>
    </row>
    <row r="562" spans="1:5" ht="15" x14ac:dyDescent="0.25">
      <c r="A562" s="7" t="s">
        <v>616</v>
      </c>
      <c r="B562" s="8">
        <v>19.11</v>
      </c>
      <c r="C562" s="10">
        <v>0.19</v>
      </c>
      <c r="D562" s="4">
        <f t="shared" ref="D562:E562" si="559">AVERAGE(B562:B564)</f>
        <v>19.173333333333336</v>
      </c>
      <c r="E562" s="4">
        <f t="shared" si="559"/>
        <v>0.19000000000000003</v>
      </c>
    </row>
    <row r="563" spans="1:5" ht="15" x14ac:dyDescent="0.25">
      <c r="A563" s="7" t="s">
        <v>188</v>
      </c>
      <c r="B563" s="8">
        <v>19.2</v>
      </c>
      <c r="C563" s="10">
        <v>0.19</v>
      </c>
      <c r="D563" s="4">
        <f t="shared" ref="D563:E563" si="560">AVERAGE(B563:B565)</f>
        <v>19.209999999999997</v>
      </c>
      <c r="E563" s="4">
        <f t="shared" si="560"/>
        <v>0.18666666666666668</v>
      </c>
    </row>
    <row r="564" spans="1:5" ht="15" x14ac:dyDescent="0.25">
      <c r="A564" s="7" t="s">
        <v>617</v>
      </c>
      <c r="B564" s="8">
        <v>19.21</v>
      </c>
      <c r="C564" s="10">
        <v>0.19</v>
      </c>
      <c r="D564" s="4">
        <f t="shared" ref="D564:E564" si="561">AVERAGE(B564:B566)</f>
        <v>19.253333333333334</v>
      </c>
      <c r="E564" s="4">
        <f t="shared" si="561"/>
        <v>0.18000000000000002</v>
      </c>
    </row>
    <row r="565" spans="1:5" ht="15" x14ac:dyDescent="0.25">
      <c r="A565" s="7" t="s">
        <v>618</v>
      </c>
      <c r="B565" s="8">
        <v>19.22</v>
      </c>
      <c r="C565" s="10">
        <v>0.18</v>
      </c>
      <c r="D565" s="4">
        <f t="shared" ref="D565:E565" si="562">AVERAGE(B565:B567)</f>
        <v>19.286666666666665</v>
      </c>
      <c r="E565" s="4">
        <f t="shared" si="562"/>
        <v>0.17</v>
      </c>
    </row>
    <row r="566" spans="1:5" ht="15" x14ac:dyDescent="0.25">
      <c r="A566" s="7" t="s">
        <v>189</v>
      </c>
      <c r="B566" s="8">
        <v>19.329999999999998</v>
      </c>
      <c r="C566" s="10">
        <v>0.17</v>
      </c>
      <c r="D566" s="4">
        <f t="shared" ref="D566:E566" si="563">AVERAGE(B566:B568)</f>
        <v>19.316666666666666</v>
      </c>
      <c r="E566" s="4">
        <f t="shared" si="563"/>
        <v>0.15666666666666668</v>
      </c>
    </row>
    <row r="567" spans="1:5" ht="15" x14ac:dyDescent="0.25">
      <c r="A567" s="7" t="s">
        <v>619</v>
      </c>
      <c r="B567" s="8">
        <v>19.309999999999999</v>
      </c>
      <c r="C567" s="10">
        <v>0.16</v>
      </c>
      <c r="D567" s="4">
        <f t="shared" ref="D567:E567" si="564">AVERAGE(B567:B569)</f>
        <v>19.326666666666664</v>
      </c>
      <c r="E567" s="4">
        <f t="shared" si="564"/>
        <v>0.13333333333333333</v>
      </c>
    </row>
    <row r="568" spans="1:5" ht="15" x14ac:dyDescent="0.25">
      <c r="A568" s="7" t="s">
        <v>620</v>
      </c>
      <c r="B568" s="8">
        <v>19.309999999999999</v>
      </c>
      <c r="C568" s="10">
        <v>0.14000000000000001</v>
      </c>
      <c r="D568" s="4">
        <f t="shared" ref="D568:E568" si="565">AVERAGE(B568:B570)</f>
        <v>19.36</v>
      </c>
      <c r="E568" s="4">
        <f t="shared" si="565"/>
        <v>0.11</v>
      </c>
    </row>
    <row r="569" spans="1:5" ht="15" x14ac:dyDescent="0.25">
      <c r="A569" s="7" t="s">
        <v>190</v>
      </c>
      <c r="B569" s="8">
        <v>19.36</v>
      </c>
      <c r="C569" s="10">
        <v>0.1</v>
      </c>
      <c r="D569" s="4">
        <f t="shared" ref="D569:E569" si="566">AVERAGE(B569:B571)</f>
        <v>19.393333333333331</v>
      </c>
      <c r="E569" s="4">
        <f t="shared" si="566"/>
        <v>9.3333333333333338E-2</v>
      </c>
    </row>
    <row r="570" spans="1:5" ht="15" x14ac:dyDescent="0.25">
      <c r="A570" s="7" t="s">
        <v>621</v>
      </c>
      <c r="B570" s="8">
        <v>19.41</v>
      </c>
      <c r="C570" s="10">
        <v>0.09</v>
      </c>
      <c r="D570" s="4">
        <f t="shared" ref="D570:E570" si="567">AVERAGE(B570:B572)</f>
        <v>19.43</v>
      </c>
      <c r="E570" s="4">
        <f t="shared" si="567"/>
        <v>8.3333333333333329E-2</v>
      </c>
    </row>
    <row r="571" spans="1:5" ht="15" x14ac:dyDescent="0.25">
      <c r="A571" s="7" t="s">
        <v>622</v>
      </c>
      <c r="B571" s="8">
        <v>19.41</v>
      </c>
      <c r="C571" s="10">
        <v>0.09</v>
      </c>
      <c r="D571" s="4">
        <f t="shared" ref="D571:E571" si="568">AVERAGE(B571:B573)</f>
        <v>19.45</v>
      </c>
      <c r="E571" s="4">
        <f t="shared" si="568"/>
        <v>8.666666666666667E-2</v>
      </c>
    </row>
    <row r="572" spans="1:5" ht="15" x14ac:dyDescent="0.25">
      <c r="A572" s="7" t="s">
        <v>191</v>
      </c>
      <c r="B572" s="8">
        <v>19.47</v>
      </c>
      <c r="C572" s="10">
        <v>7.0000000000000007E-2</v>
      </c>
      <c r="D572" s="4">
        <f t="shared" ref="D572:E572" si="569">AVERAGE(B572:B574)</f>
        <v>19.476666666666663</v>
      </c>
      <c r="E572" s="4">
        <f t="shared" si="569"/>
        <v>8.3333333333333329E-2</v>
      </c>
    </row>
    <row r="573" spans="1:5" ht="15" x14ac:dyDescent="0.25">
      <c r="A573" s="7" t="s">
        <v>623</v>
      </c>
      <c r="B573" s="8">
        <v>19.47</v>
      </c>
      <c r="C573" s="10">
        <v>0.1</v>
      </c>
      <c r="D573" s="4">
        <f t="shared" ref="D573:E573" si="570">AVERAGE(B573:B575)</f>
        <v>19.506666666666664</v>
      </c>
      <c r="E573" s="4">
        <f t="shared" si="570"/>
        <v>8.3333333333333329E-2</v>
      </c>
    </row>
    <row r="574" spans="1:5" ht="15" x14ac:dyDescent="0.25">
      <c r="A574" s="7" t="s">
        <v>624</v>
      </c>
      <c r="B574" s="8">
        <v>19.489999999999998</v>
      </c>
      <c r="C574" s="10">
        <v>0.08</v>
      </c>
      <c r="D574" s="4">
        <f t="shared" ref="D574:E574" si="571">AVERAGE(B574:B576)</f>
        <v>19.536666666666665</v>
      </c>
      <c r="E574" s="4">
        <f t="shared" si="571"/>
        <v>7.6666666666666675E-2</v>
      </c>
    </row>
    <row r="575" spans="1:5" ht="15" x14ac:dyDescent="0.25">
      <c r="A575" s="7" t="s">
        <v>192</v>
      </c>
      <c r="B575" s="8">
        <v>19.559999999999999</v>
      </c>
      <c r="C575" s="10">
        <v>7.0000000000000007E-2</v>
      </c>
      <c r="D575" s="4">
        <f t="shared" ref="D575:E575" si="572">AVERAGE(B575:B577)</f>
        <v>19.563333333333333</v>
      </c>
      <c r="E575" s="4">
        <f t="shared" si="572"/>
        <v>7.3333333333333348E-2</v>
      </c>
    </row>
    <row r="576" spans="1:5" ht="15" x14ac:dyDescent="0.25">
      <c r="A576" s="7" t="s">
        <v>625</v>
      </c>
      <c r="B576" s="8">
        <v>19.559999999999999</v>
      </c>
      <c r="C576" s="10">
        <v>0.08</v>
      </c>
      <c r="D576" s="4">
        <f t="shared" ref="D576:E576" si="573">AVERAGE(B576:B578)</f>
        <v>19.573333333333334</v>
      </c>
      <c r="E576" s="4">
        <f t="shared" si="573"/>
        <v>7.6666666666666675E-2</v>
      </c>
    </row>
    <row r="577" spans="1:5" ht="15" x14ac:dyDescent="0.25">
      <c r="A577" s="7" t="s">
        <v>626</v>
      </c>
      <c r="B577" s="8">
        <v>19.57</v>
      </c>
      <c r="C577" s="10">
        <v>7.0000000000000007E-2</v>
      </c>
      <c r="D577" s="4">
        <f t="shared" ref="D577:E577" si="574">AVERAGE(B577:B579)</f>
        <v>19.583333333333332</v>
      </c>
      <c r="E577" s="4">
        <f t="shared" si="574"/>
        <v>8.3333333333333329E-2</v>
      </c>
    </row>
    <row r="578" spans="1:5" ht="15" x14ac:dyDescent="0.25">
      <c r="A578" s="7" t="s">
        <v>193</v>
      </c>
      <c r="B578" s="8">
        <v>19.59</v>
      </c>
      <c r="C578" s="10">
        <v>0.08</v>
      </c>
      <c r="D578" s="4">
        <f t="shared" ref="D578:E578" si="575">AVERAGE(B578:B580)</f>
        <v>19.606666666666666</v>
      </c>
      <c r="E578" s="4">
        <f t="shared" si="575"/>
        <v>0.10333333333333333</v>
      </c>
    </row>
    <row r="579" spans="1:5" ht="15" x14ac:dyDescent="0.25">
      <c r="A579" s="7" t="s">
        <v>627</v>
      </c>
      <c r="B579" s="8">
        <v>19.59</v>
      </c>
      <c r="C579" s="10">
        <v>0.1</v>
      </c>
      <c r="D579" s="4">
        <f t="shared" ref="D579:E579" si="576">AVERAGE(B579:B581)</f>
        <v>19.636666666666667</v>
      </c>
      <c r="E579" s="4">
        <f t="shared" si="576"/>
        <v>0.12333333333333334</v>
      </c>
    </row>
    <row r="580" spans="1:5" ht="15" x14ac:dyDescent="0.25">
      <c r="A580" s="7" t="s">
        <v>628</v>
      </c>
      <c r="B580" s="8">
        <v>19.64</v>
      </c>
      <c r="C580" s="10">
        <v>0.13</v>
      </c>
      <c r="D580" s="4">
        <f t="shared" ref="D580:E580" si="577">AVERAGE(B580:B582)</f>
        <v>19.663333333333334</v>
      </c>
      <c r="E580" s="4">
        <f t="shared" si="577"/>
        <v>0.14333333333333334</v>
      </c>
    </row>
    <row r="581" spans="1:5" ht="15" x14ac:dyDescent="0.25">
      <c r="A581" s="7" t="s">
        <v>194</v>
      </c>
      <c r="B581" s="8">
        <v>19.68</v>
      </c>
      <c r="C581" s="10">
        <v>0.14000000000000001</v>
      </c>
      <c r="D581" s="4">
        <f t="shared" ref="D581:E581" si="578">AVERAGE(B581:B583)</f>
        <v>19.686666666666667</v>
      </c>
      <c r="E581" s="4">
        <f t="shared" si="578"/>
        <v>0.15333333333333335</v>
      </c>
    </row>
    <row r="582" spans="1:5" ht="15" x14ac:dyDescent="0.25">
      <c r="A582" s="7" t="s">
        <v>629</v>
      </c>
      <c r="B582" s="8">
        <v>19.670000000000002</v>
      </c>
      <c r="C582" s="10">
        <v>0.16</v>
      </c>
      <c r="D582" s="4">
        <f t="shared" ref="D582:E582" si="579">AVERAGE(B582:B584)</f>
        <v>19.706666666666667</v>
      </c>
      <c r="E582" s="4">
        <f t="shared" si="579"/>
        <v>0.16</v>
      </c>
    </row>
    <row r="583" spans="1:5" ht="15" x14ac:dyDescent="0.25">
      <c r="A583" s="7" t="s">
        <v>630</v>
      </c>
      <c r="B583" s="8">
        <v>19.71</v>
      </c>
      <c r="C583" s="10">
        <v>0.16</v>
      </c>
      <c r="D583" s="4">
        <f t="shared" ref="D583:E583" si="580">AVERAGE(B583:B585)</f>
        <v>19.73</v>
      </c>
      <c r="E583" s="4">
        <f t="shared" si="580"/>
        <v>0.15</v>
      </c>
    </row>
    <row r="584" spans="1:5" ht="15" x14ac:dyDescent="0.25">
      <c r="A584" s="7" t="s">
        <v>195</v>
      </c>
      <c r="B584" s="8">
        <v>19.739999999999998</v>
      </c>
      <c r="C584" s="10">
        <v>0.16</v>
      </c>
      <c r="D584" s="4">
        <f t="shared" ref="D584:E584" si="581">AVERAGE(B584:B586)</f>
        <v>19.756666666666664</v>
      </c>
      <c r="E584" s="4">
        <f t="shared" si="581"/>
        <v>0.14333333333333334</v>
      </c>
    </row>
    <row r="585" spans="1:5" ht="15" x14ac:dyDescent="0.25">
      <c r="A585" s="7" t="s">
        <v>631</v>
      </c>
      <c r="B585" s="8">
        <v>19.739999999999998</v>
      </c>
      <c r="C585" s="10">
        <v>0.13</v>
      </c>
      <c r="D585" s="4">
        <f t="shared" ref="D585:E585" si="582">AVERAGE(B585:B587)</f>
        <v>19.773333333333333</v>
      </c>
      <c r="E585" s="4">
        <f t="shared" si="582"/>
        <v>0.14333333333333334</v>
      </c>
    </row>
    <row r="586" spans="1:5" ht="15" x14ac:dyDescent="0.25">
      <c r="A586" s="7" t="s">
        <v>632</v>
      </c>
      <c r="B586" s="8">
        <v>19.79</v>
      </c>
      <c r="C586" s="10">
        <v>0.14000000000000001</v>
      </c>
      <c r="D586" s="4">
        <f t="shared" ref="D586:E586" si="583">AVERAGE(B586:B588)</f>
        <v>19.806666666666668</v>
      </c>
      <c r="E586" s="4">
        <f t="shared" si="583"/>
        <v>0.15333333333333335</v>
      </c>
    </row>
    <row r="587" spans="1:5" ht="15" x14ac:dyDescent="0.25">
      <c r="A587" s="7" t="s">
        <v>196</v>
      </c>
      <c r="B587" s="8">
        <v>19.79</v>
      </c>
      <c r="C587" s="10">
        <v>0.16</v>
      </c>
      <c r="D587" s="4">
        <f t="shared" ref="D587:E587" si="584">AVERAGE(B587:B589)</f>
        <v>19.846666666666664</v>
      </c>
      <c r="E587" s="4">
        <f t="shared" si="584"/>
        <v>0.16</v>
      </c>
    </row>
    <row r="588" spans="1:5" ht="15" x14ac:dyDescent="0.25">
      <c r="A588" s="7" t="s">
        <v>633</v>
      </c>
      <c r="B588" s="8">
        <v>19.84</v>
      </c>
      <c r="C588" s="10">
        <v>0.16</v>
      </c>
      <c r="D588" s="4">
        <f t="shared" ref="D588:E588" si="585">AVERAGE(B588:B590)</f>
        <v>19.896666666666665</v>
      </c>
      <c r="E588" s="4">
        <f t="shared" si="585"/>
        <v>0.15333333333333335</v>
      </c>
    </row>
    <row r="589" spans="1:5" ht="15" x14ac:dyDescent="0.25">
      <c r="A589" s="7" t="s">
        <v>634</v>
      </c>
      <c r="B589" s="8">
        <v>19.91</v>
      </c>
      <c r="C589" s="10">
        <v>0.16</v>
      </c>
      <c r="D589" s="4">
        <f t="shared" ref="D589:E589" si="586">AVERAGE(B589:B591)</f>
        <v>19.946666666666669</v>
      </c>
      <c r="E589" s="4">
        <f t="shared" si="586"/>
        <v>0.15000000000000002</v>
      </c>
    </row>
    <row r="590" spans="1:5" ht="15" x14ac:dyDescent="0.25">
      <c r="A590" s="7" t="s">
        <v>197</v>
      </c>
      <c r="B590" s="8">
        <v>19.940000000000001</v>
      </c>
      <c r="C590" s="10">
        <v>0.14000000000000001</v>
      </c>
      <c r="D590" s="4">
        <f t="shared" ref="D590:E590" si="587">AVERAGE(B590:B592)</f>
        <v>19.976666666666667</v>
      </c>
      <c r="E590" s="4">
        <f t="shared" si="587"/>
        <v>0.14333333333333334</v>
      </c>
    </row>
    <row r="591" spans="1:5" ht="15" x14ac:dyDescent="0.25">
      <c r="A591" s="7" t="s">
        <v>635</v>
      </c>
      <c r="B591" s="8">
        <v>19.989999999999998</v>
      </c>
      <c r="C591" s="10">
        <v>0.15</v>
      </c>
      <c r="D591" s="4">
        <f t="shared" ref="D591:E591" si="588">AVERAGE(B591:B593)</f>
        <v>20.009999999999998</v>
      </c>
      <c r="E591" s="4">
        <f t="shared" si="588"/>
        <v>0.1466666666666667</v>
      </c>
    </row>
    <row r="592" spans="1:5" ht="15" x14ac:dyDescent="0.25">
      <c r="A592" s="7" t="s">
        <v>636</v>
      </c>
      <c r="B592" s="8">
        <v>20</v>
      </c>
      <c r="C592" s="10">
        <v>0.14000000000000001</v>
      </c>
      <c r="D592" s="4">
        <f t="shared" ref="D592:E592" si="589">AVERAGE(B592:B594)</f>
        <v>20.03</v>
      </c>
      <c r="E592" s="4">
        <f t="shared" si="589"/>
        <v>0.13333333333333333</v>
      </c>
    </row>
    <row r="593" spans="1:5" ht="15" x14ac:dyDescent="0.25">
      <c r="A593" s="7" t="s">
        <v>198</v>
      </c>
      <c r="B593" s="8">
        <v>20.04</v>
      </c>
      <c r="C593" s="10">
        <v>0.15</v>
      </c>
      <c r="D593" s="4">
        <f t="shared" ref="D593:E593" si="590">AVERAGE(B593:B595)</f>
        <v>20.070000000000004</v>
      </c>
      <c r="E593" s="4">
        <f t="shared" si="590"/>
        <v>0.11666666666666665</v>
      </c>
    </row>
    <row r="594" spans="1:5" ht="15" x14ac:dyDescent="0.25">
      <c r="A594" s="7" t="s">
        <v>637</v>
      </c>
      <c r="B594" s="8">
        <v>20.05</v>
      </c>
      <c r="C594" s="10">
        <v>0.11</v>
      </c>
      <c r="D594" s="4">
        <f t="shared" ref="D594:E594" si="591">AVERAGE(B594:B596)</f>
        <v>20.103333333333335</v>
      </c>
      <c r="E594" s="4">
        <f t="shared" si="591"/>
        <v>9.6666666666666679E-2</v>
      </c>
    </row>
    <row r="595" spans="1:5" ht="15" x14ac:dyDescent="0.25">
      <c r="A595" s="7" t="s">
        <v>638</v>
      </c>
      <c r="B595" s="8">
        <v>20.12</v>
      </c>
      <c r="C595" s="10">
        <v>0.09</v>
      </c>
      <c r="D595" s="4">
        <f t="shared" ref="D595:E595" si="592">AVERAGE(B595:B597)</f>
        <v>20.146666666666668</v>
      </c>
      <c r="E595" s="4">
        <f t="shared" si="592"/>
        <v>8.666666666666667E-2</v>
      </c>
    </row>
    <row r="596" spans="1:5" ht="15" x14ac:dyDescent="0.25">
      <c r="A596" s="7" t="s">
        <v>199</v>
      </c>
      <c r="B596" s="8">
        <v>20.14</v>
      </c>
      <c r="C596" s="10">
        <v>0.09</v>
      </c>
      <c r="D596" s="4">
        <f t="shared" ref="D596:E596" si="593">AVERAGE(B596:B598)</f>
        <v>20.183333333333334</v>
      </c>
      <c r="E596" s="4">
        <f t="shared" si="593"/>
        <v>8.3333333333333329E-2</v>
      </c>
    </row>
    <row r="597" spans="1:5" ht="15" x14ac:dyDescent="0.25">
      <c r="A597" s="7" t="s">
        <v>639</v>
      </c>
      <c r="B597" s="8">
        <v>20.18</v>
      </c>
      <c r="C597" s="10">
        <v>0.08</v>
      </c>
      <c r="D597" s="4">
        <f t="shared" ref="D597:E597" si="594">AVERAGE(B597:B599)</f>
        <v>20.22</v>
      </c>
      <c r="E597" s="4">
        <f t="shared" si="594"/>
        <v>8.3333333333333329E-2</v>
      </c>
    </row>
    <row r="598" spans="1:5" ht="15" x14ac:dyDescent="0.25">
      <c r="A598" s="7" t="s">
        <v>640</v>
      </c>
      <c r="B598" s="8">
        <v>20.23</v>
      </c>
      <c r="C598" s="10">
        <v>0.08</v>
      </c>
      <c r="D598" s="4">
        <f t="shared" ref="D598:E598" si="595">AVERAGE(B598:B600)</f>
        <v>20.260000000000002</v>
      </c>
      <c r="E598" s="4">
        <f t="shared" si="595"/>
        <v>8.3333333333333329E-2</v>
      </c>
    </row>
    <row r="599" spans="1:5" ht="15" x14ac:dyDescent="0.25">
      <c r="A599" s="7" t="s">
        <v>200</v>
      </c>
      <c r="B599" s="8">
        <v>20.25</v>
      </c>
      <c r="C599" s="10">
        <v>0.09</v>
      </c>
      <c r="D599" s="4">
        <f t="shared" ref="D599:E599" si="596">AVERAGE(B599:B601)</f>
        <v>20.3</v>
      </c>
      <c r="E599" s="4">
        <f t="shared" si="596"/>
        <v>8.666666666666667E-2</v>
      </c>
    </row>
    <row r="600" spans="1:5" ht="15" x14ac:dyDescent="0.25">
      <c r="A600" s="7" t="s">
        <v>641</v>
      </c>
      <c r="B600" s="8">
        <v>20.3</v>
      </c>
      <c r="C600" s="10">
        <v>0.08</v>
      </c>
      <c r="D600" s="4">
        <f t="shared" ref="D600:E600" si="597">AVERAGE(B600:B602)</f>
        <v>20.346666666666668</v>
      </c>
      <c r="E600" s="4">
        <f t="shared" si="597"/>
        <v>0.08</v>
      </c>
    </row>
    <row r="601" spans="1:5" ht="15" x14ac:dyDescent="0.25">
      <c r="A601" s="7" t="s">
        <v>642</v>
      </c>
      <c r="B601" s="8">
        <v>20.350000000000001</v>
      </c>
      <c r="C601" s="10">
        <v>0.09</v>
      </c>
      <c r="D601" s="4">
        <f t="shared" ref="D601:E601" si="598">AVERAGE(B601:B603)</f>
        <v>20.416666666666668</v>
      </c>
      <c r="E601" s="4">
        <f t="shared" si="598"/>
        <v>7.6666666666666675E-2</v>
      </c>
    </row>
    <row r="602" spans="1:5" ht="15" x14ac:dyDescent="0.25">
      <c r="A602" s="7" t="s">
        <v>201</v>
      </c>
      <c r="B602" s="8">
        <v>20.39</v>
      </c>
      <c r="C602" s="10">
        <v>7.0000000000000007E-2</v>
      </c>
      <c r="D602" s="4">
        <f t="shared" ref="D602:E602" si="599">AVERAGE(B602:B604)</f>
        <v>20.466666666666669</v>
      </c>
      <c r="E602" s="4">
        <f t="shared" si="599"/>
        <v>7.3333333333333348E-2</v>
      </c>
    </row>
    <row r="603" spans="1:5" ht="15" x14ac:dyDescent="0.25">
      <c r="A603" s="7" t="s">
        <v>643</v>
      </c>
      <c r="B603" s="8">
        <v>20.51</v>
      </c>
      <c r="C603" s="10">
        <v>7.0000000000000007E-2</v>
      </c>
      <c r="D603" s="4">
        <f t="shared" ref="D603:E603" si="600">AVERAGE(B603:B605)</f>
        <v>20.506666666666671</v>
      </c>
      <c r="E603" s="4">
        <f t="shared" si="600"/>
        <v>0.08</v>
      </c>
    </row>
    <row r="604" spans="1:5" ht="15" x14ac:dyDescent="0.25">
      <c r="A604" s="7" t="s">
        <v>644</v>
      </c>
      <c r="B604" s="8">
        <v>20.5</v>
      </c>
      <c r="C604" s="10">
        <v>0.08</v>
      </c>
      <c r="D604" s="4">
        <f t="shared" ref="D604:E604" si="601">AVERAGE(B604:B606)</f>
        <v>20.516666666666669</v>
      </c>
      <c r="E604" s="4">
        <f t="shared" si="601"/>
        <v>8.666666666666667E-2</v>
      </c>
    </row>
    <row r="605" spans="1:5" ht="15" x14ac:dyDescent="0.25">
      <c r="A605" s="7" t="s">
        <v>202</v>
      </c>
      <c r="B605" s="8">
        <v>20.51</v>
      </c>
      <c r="C605" s="10">
        <v>0.09</v>
      </c>
      <c r="D605" s="4">
        <f t="shared" ref="D605:E605" si="602">AVERAGE(B605:B607)</f>
        <v>20.546666666666667</v>
      </c>
      <c r="E605" s="4">
        <f t="shared" si="602"/>
        <v>9.3333333333333338E-2</v>
      </c>
    </row>
    <row r="606" spans="1:5" ht="15" x14ac:dyDescent="0.25">
      <c r="A606" s="7" t="s">
        <v>645</v>
      </c>
      <c r="B606" s="8">
        <v>20.54</v>
      </c>
      <c r="C606" s="10">
        <v>0.09</v>
      </c>
      <c r="D606" s="4">
        <f t="shared" ref="D606:E606" si="603">AVERAGE(B606:B608)</f>
        <v>20.58</v>
      </c>
      <c r="E606" s="4">
        <f t="shared" si="603"/>
        <v>9.3333333333333338E-2</v>
      </c>
    </row>
    <row r="607" spans="1:5" ht="15" x14ac:dyDescent="0.25">
      <c r="A607" s="7" t="s">
        <v>646</v>
      </c>
      <c r="B607" s="8">
        <v>20.59</v>
      </c>
      <c r="C607" s="10">
        <v>0.1</v>
      </c>
      <c r="D607" s="4">
        <f t="shared" ref="D607:E607" si="604">AVERAGE(B607:B609)</f>
        <v>20.62</v>
      </c>
      <c r="E607" s="4">
        <f t="shared" si="604"/>
        <v>9.3333333333333338E-2</v>
      </c>
    </row>
    <row r="608" spans="1:5" ht="15" x14ac:dyDescent="0.25">
      <c r="A608" s="7" t="s">
        <v>203</v>
      </c>
      <c r="B608" s="8">
        <v>20.61</v>
      </c>
      <c r="C608" s="10">
        <v>0.09</v>
      </c>
      <c r="D608" s="4">
        <f t="shared" ref="D608:E608" si="605">AVERAGE(B608:B610)</f>
        <v>20.646666666666665</v>
      </c>
      <c r="E608" s="4">
        <f t="shared" si="605"/>
        <v>9.0000000000000011E-2</v>
      </c>
    </row>
    <row r="609" spans="1:5" ht="15" x14ac:dyDescent="0.25">
      <c r="A609" s="7" t="s">
        <v>647</v>
      </c>
      <c r="B609" s="8">
        <v>20.66</v>
      </c>
      <c r="C609" s="10">
        <v>0.09</v>
      </c>
      <c r="D609" s="4">
        <f t="shared" ref="D609:E609" si="606">AVERAGE(B609:B611)</f>
        <v>20.676666666666666</v>
      </c>
      <c r="E609" s="4">
        <f t="shared" si="606"/>
        <v>9.0000000000000011E-2</v>
      </c>
    </row>
    <row r="610" spans="1:5" ht="15" x14ac:dyDescent="0.25">
      <c r="A610" s="7" t="s">
        <v>648</v>
      </c>
      <c r="B610" s="8">
        <v>20.67</v>
      </c>
      <c r="C610" s="10">
        <v>0.09</v>
      </c>
      <c r="D610" s="4">
        <f t="shared" ref="D610:E610" si="607">AVERAGE(B610:B612)</f>
        <v>20.713333333333335</v>
      </c>
      <c r="E610" s="4">
        <f t="shared" si="607"/>
        <v>9.0000000000000011E-2</v>
      </c>
    </row>
    <row r="611" spans="1:5" ht="15" x14ac:dyDescent="0.25">
      <c r="A611" s="7" t="s">
        <v>204</v>
      </c>
      <c r="B611" s="8">
        <v>20.7</v>
      </c>
      <c r="C611" s="10">
        <v>0.09</v>
      </c>
      <c r="D611" s="4">
        <f t="shared" ref="D611:E611" si="608">AVERAGE(B611:B613)</f>
        <v>20.726666666666667</v>
      </c>
      <c r="E611" s="4">
        <f t="shared" si="608"/>
        <v>9.9999999999999992E-2</v>
      </c>
    </row>
    <row r="612" spans="1:5" ht="15" x14ac:dyDescent="0.25">
      <c r="A612" s="7" t="s">
        <v>649</v>
      </c>
      <c r="B612" s="8">
        <v>20.77</v>
      </c>
      <c r="C612" s="10">
        <v>0.09</v>
      </c>
      <c r="D612" s="4">
        <f t="shared" ref="D612:E612" si="609">AVERAGE(B612:B614)</f>
        <v>20.76</v>
      </c>
      <c r="E612" s="4">
        <f t="shared" si="609"/>
        <v>0.10666666666666667</v>
      </c>
    </row>
    <row r="613" spans="1:5" ht="15" x14ac:dyDescent="0.25">
      <c r="A613" s="7" t="s">
        <v>650</v>
      </c>
      <c r="B613" s="8">
        <v>20.71</v>
      </c>
      <c r="C613" s="10">
        <v>0.12</v>
      </c>
      <c r="D613" s="4">
        <f t="shared" ref="D613:E613" si="610">AVERAGE(B613:B615)</f>
        <v>20.783333333333335</v>
      </c>
      <c r="E613" s="4">
        <f t="shared" si="610"/>
        <v>0.11333333333333333</v>
      </c>
    </row>
    <row r="614" spans="1:5" ht="15" x14ac:dyDescent="0.25">
      <c r="A614" s="7" t="s">
        <v>205</v>
      </c>
      <c r="B614" s="8">
        <v>20.8</v>
      </c>
      <c r="C614" s="10">
        <v>0.11</v>
      </c>
      <c r="D614" s="4">
        <f t="shared" ref="D614:E614" si="611">AVERAGE(B614:B616)</f>
        <v>20.849999999999998</v>
      </c>
      <c r="E614" s="4">
        <f t="shared" si="611"/>
        <v>0.11</v>
      </c>
    </row>
    <row r="615" spans="1:5" ht="15" x14ac:dyDescent="0.25">
      <c r="A615" s="7" t="s">
        <v>651</v>
      </c>
      <c r="B615" s="8">
        <v>20.84</v>
      </c>
      <c r="C615" s="10">
        <v>0.11</v>
      </c>
      <c r="D615" s="4">
        <f t="shared" ref="D615:E615" si="612">AVERAGE(B615:B617)</f>
        <v>20.89</v>
      </c>
      <c r="E615" s="4">
        <f t="shared" si="612"/>
        <v>0.11333333333333333</v>
      </c>
    </row>
    <row r="616" spans="1:5" ht="15" x14ac:dyDescent="0.25">
      <c r="A616" s="7" t="s">
        <v>652</v>
      </c>
      <c r="B616" s="8">
        <v>20.91</v>
      </c>
      <c r="C616" s="10">
        <v>0.11</v>
      </c>
      <c r="D616" s="4">
        <f t="shared" ref="D616:E616" si="613">AVERAGE(B616:B618)</f>
        <v>20.936666666666667</v>
      </c>
      <c r="E616" s="4">
        <f t="shared" si="613"/>
        <v>0.11666666666666665</v>
      </c>
    </row>
    <row r="617" spans="1:5" ht="15" x14ac:dyDescent="0.25">
      <c r="A617" s="7" t="s">
        <v>206</v>
      </c>
      <c r="B617" s="8">
        <v>20.92</v>
      </c>
      <c r="C617" s="10">
        <v>0.12</v>
      </c>
      <c r="D617" s="4">
        <f t="shared" ref="D617:E617" si="614">AVERAGE(B617:B619)</f>
        <v>20.970000000000002</v>
      </c>
      <c r="E617" s="4">
        <f t="shared" si="614"/>
        <v>0.12333333333333334</v>
      </c>
    </row>
    <row r="618" spans="1:5" ht="15" x14ac:dyDescent="0.25">
      <c r="A618" s="7" t="s">
        <v>653</v>
      </c>
      <c r="B618" s="8">
        <v>20.98</v>
      </c>
      <c r="C618" s="10">
        <v>0.12</v>
      </c>
      <c r="D618" s="4">
        <f t="shared" ref="D618:E618" si="615">AVERAGE(B618:B620)</f>
        <v>21.006666666666668</v>
      </c>
      <c r="E618" s="4">
        <f t="shared" si="615"/>
        <v>0.12666666666666668</v>
      </c>
    </row>
    <row r="619" spans="1:5" ht="15" x14ac:dyDescent="0.25">
      <c r="A619" s="7" t="s">
        <v>654</v>
      </c>
      <c r="B619" s="8">
        <v>21.01</v>
      </c>
      <c r="C619" s="10">
        <v>0.13</v>
      </c>
      <c r="D619" s="4">
        <f t="shared" ref="D619:E619" si="616">AVERAGE(B619:B621)</f>
        <v>21.04666666666667</v>
      </c>
      <c r="E619" s="4">
        <f t="shared" si="616"/>
        <v>0.13333333333333333</v>
      </c>
    </row>
    <row r="620" spans="1:5" ht="15" x14ac:dyDescent="0.25">
      <c r="A620" s="7" t="s">
        <v>207</v>
      </c>
      <c r="B620" s="8">
        <v>21.03</v>
      </c>
      <c r="C620" s="10">
        <v>0.13</v>
      </c>
      <c r="D620" s="4">
        <f t="shared" ref="D620:E620" si="617">AVERAGE(B620:B622)</f>
        <v>21.073333333333334</v>
      </c>
      <c r="E620" s="4">
        <f t="shared" si="617"/>
        <v>0.13666666666666669</v>
      </c>
    </row>
    <row r="621" spans="1:5" ht="15" x14ac:dyDescent="0.25">
      <c r="A621" s="7" t="s">
        <v>655</v>
      </c>
      <c r="B621" s="8">
        <v>21.1</v>
      </c>
      <c r="C621" s="10">
        <v>0.14000000000000001</v>
      </c>
      <c r="D621" s="4">
        <f t="shared" ref="D621:E621" si="618">AVERAGE(B621:B623)</f>
        <v>21.126666666666665</v>
      </c>
      <c r="E621" s="4">
        <f t="shared" si="618"/>
        <v>0.13333333333333333</v>
      </c>
    </row>
    <row r="622" spans="1:5" ht="15" x14ac:dyDescent="0.25">
      <c r="A622" s="7" t="s">
        <v>656</v>
      </c>
      <c r="B622" s="8">
        <v>21.09</v>
      </c>
      <c r="C622" s="10">
        <v>0.14000000000000001</v>
      </c>
      <c r="D622" s="4">
        <f t="shared" ref="D622:E622" si="619">AVERAGE(B622:B624)</f>
        <v>21.163333333333334</v>
      </c>
      <c r="E622" s="4">
        <f t="shared" si="619"/>
        <v>0.12666666666666668</v>
      </c>
    </row>
    <row r="623" spans="1:5" ht="15" x14ac:dyDescent="0.25">
      <c r="A623" s="7" t="s">
        <v>208</v>
      </c>
      <c r="B623" s="8">
        <v>21.19</v>
      </c>
      <c r="C623" s="10">
        <v>0.12</v>
      </c>
      <c r="D623" s="4">
        <f t="shared" ref="D623:E623" si="620">AVERAGE(B623:B625)</f>
        <v>21.210000000000004</v>
      </c>
      <c r="E623" s="4">
        <f t="shared" si="620"/>
        <v>0.16</v>
      </c>
    </row>
    <row r="624" spans="1:5" ht="15" x14ac:dyDescent="0.25">
      <c r="A624" s="7" t="s">
        <v>657</v>
      </c>
      <c r="B624" s="8">
        <v>21.21</v>
      </c>
      <c r="C624" s="10">
        <v>0.12</v>
      </c>
      <c r="D624" s="4">
        <f t="shared" ref="D624:E624" si="621">AVERAGE(B624:B626)</f>
        <v>21.25</v>
      </c>
      <c r="E624" s="4">
        <f t="shared" si="621"/>
        <v>0.23333333333333331</v>
      </c>
    </row>
    <row r="625" spans="1:5" ht="15" x14ac:dyDescent="0.25">
      <c r="A625" s="7" t="s">
        <v>658</v>
      </c>
      <c r="B625" s="8">
        <v>21.23</v>
      </c>
      <c r="C625" s="10">
        <v>0.24</v>
      </c>
      <c r="D625" s="4">
        <f t="shared" ref="D625:E625" si="622">AVERAGE(B625:B627)</f>
        <v>21.29</v>
      </c>
      <c r="E625" s="4">
        <f t="shared" si="622"/>
        <v>0.32</v>
      </c>
    </row>
    <row r="626" spans="1:5" ht="15" x14ac:dyDescent="0.25">
      <c r="A626" s="7" t="s">
        <v>209</v>
      </c>
      <c r="B626" s="8">
        <v>21.31</v>
      </c>
      <c r="C626" s="10">
        <v>0.34</v>
      </c>
      <c r="D626" s="4">
        <f t="shared" ref="D626:E626" si="623">AVERAGE(B626:B628)</f>
        <v>21.343333333333334</v>
      </c>
      <c r="E626" s="4">
        <f t="shared" si="623"/>
        <v>0.36000000000000004</v>
      </c>
    </row>
    <row r="627" spans="1:5" ht="15" x14ac:dyDescent="0.25">
      <c r="A627" s="7" t="s">
        <v>659</v>
      </c>
      <c r="B627" s="8">
        <v>21.33</v>
      </c>
      <c r="C627" s="10">
        <v>0.38</v>
      </c>
      <c r="D627" s="4">
        <f t="shared" ref="D627:E627" si="624">AVERAGE(B627:B629)</f>
        <v>21.393333333333334</v>
      </c>
      <c r="E627" s="4">
        <f t="shared" si="624"/>
        <v>0.36999999999999994</v>
      </c>
    </row>
    <row r="628" spans="1:5" ht="15" x14ac:dyDescent="0.25">
      <c r="A628" s="7" t="s">
        <v>660</v>
      </c>
      <c r="B628" s="8">
        <v>21.39</v>
      </c>
      <c r="C628" s="10">
        <v>0.36</v>
      </c>
      <c r="D628" s="4">
        <f t="shared" ref="D628:E628" si="625">AVERAGE(B628:B630)</f>
        <v>21.439999999999998</v>
      </c>
      <c r="E628" s="4">
        <f t="shared" si="625"/>
        <v>0.3666666666666667</v>
      </c>
    </row>
    <row r="629" spans="1:5" ht="15" x14ac:dyDescent="0.25">
      <c r="A629" s="7" t="s">
        <v>210</v>
      </c>
      <c r="B629" s="8">
        <v>21.46</v>
      </c>
      <c r="C629" s="10">
        <v>0.37</v>
      </c>
      <c r="D629" s="4">
        <f t="shared" ref="D629:E629" si="626">AVERAGE(B629:B631)</f>
        <v>21.483333333333334</v>
      </c>
      <c r="E629" s="4">
        <f t="shared" si="626"/>
        <v>0.37333333333333335</v>
      </c>
    </row>
    <row r="630" spans="1:5" ht="15" x14ac:dyDescent="0.25">
      <c r="A630" s="7" t="s">
        <v>661</v>
      </c>
      <c r="B630" s="8">
        <v>21.47</v>
      </c>
      <c r="C630" s="10">
        <v>0.37</v>
      </c>
      <c r="D630" s="4">
        <f t="shared" ref="D630:E630" si="627">AVERAGE(B630:B632)</f>
        <v>21.52333333333333</v>
      </c>
      <c r="E630" s="4">
        <f t="shared" si="627"/>
        <v>0.38000000000000006</v>
      </c>
    </row>
    <row r="631" spans="1:5" ht="15" x14ac:dyDescent="0.25">
      <c r="A631" s="7" t="s">
        <v>662</v>
      </c>
      <c r="B631" s="8">
        <v>21.52</v>
      </c>
      <c r="C631" s="10">
        <v>0.38</v>
      </c>
      <c r="D631" s="4">
        <f t="shared" ref="D631:E631" si="628">AVERAGE(B631:B633)</f>
        <v>21.566666666666663</v>
      </c>
      <c r="E631" s="4">
        <f t="shared" si="628"/>
        <v>0.38999999999999996</v>
      </c>
    </row>
    <row r="632" spans="1:5" ht="15" x14ac:dyDescent="0.25">
      <c r="A632" s="7" t="s">
        <v>211</v>
      </c>
      <c r="B632" s="8">
        <v>21.58</v>
      </c>
      <c r="C632" s="10">
        <v>0.39</v>
      </c>
      <c r="D632" s="4">
        <f t="shared" ref="D632:E632" si="629">AVERAGE(B632:B634)</f>
        <v>21.603333333333335</v>
      </c>
      <c r="E632" s="4">
        <f t="shared" si="629"/>
        <v>0.39666666666666667</v>
      </c>
    </row>
    <row r="633" spans="1:5" ht="15" x14ac:dyDescent="0.25">
      <c r="A633" s="7" t="s">
        <v>663</v>
      </c>
      <c r="B633" s="8">
        <v>21.6</v>
      </c>
      <c r="C633" s="10">
        <v>0.4</v>
      </c>
      <c r="D633" s="4">
        <f t="shared" ref="D633:E633" si="630">AVERAGE(B633:B635)</f>
        <v>21.646666666666665</v>
      </c>
      <c r="E633" s="4">
        <f t="shared" si="630"/>
        <v>0.40000000000000008</v>
      </c>
    </row>
    <row r="634" spans="1:5" ht="15" x14ac:dyDescent="0.25">
      <c r="A634" s="7" t="s">
        <v>664</v>
      </c>
      <c r="B634" s="8">
        <v>21.63</v>
      </c>
      <c r="C634" s="10">
        <v>0.4</v>
      </c>
      <c r="D634" s="4">
        <f t="shared" ref="D634:E634" si="631">AVERAGE(B634:B636)</f>
        <v>21.683333333333337</v>
      </c>
      <c r="E634" s="4">
        <f t="shared" si="631"/>
        <v>0.40333333333333332</v>
      </c>
    </row>
    <row r="635" spans="1:5" ht="15" x14ac:dyDescent="0.25">
      <c r="A635" s="7" t="s">
        <v>212</v>
      </c>
      <c r="B635" s="8">
        <v>21.71</v>
      </c>
      <c r="C635" s="10">
        <v>0.4</v>
      </c>
      <c r="D635" s="4">
        <f t="shared" ref="D635:E635" si="632">AVERAGE(B635:B637)</f>
        <v>21.72666666666667</v>
      </c>
      <c r="E635" s="4">
        <f t="shared" si="632"/>
        <v>0.45</v>
      </c>
    </row>
    <row r="636" spans="1:5" ht="15" x14ac:dyDescent="0.25">
      <c r="A636" s="7" t="s">
        <v>665</v>
      </c>
      <c r="B636" s="8">
        <v>21.71</v>
      </c>
      <c r="C636" s="10">
        <v>0.41</v>
      </c>
      <c r="D636" s="4">
        <f t="shared" ref="D636:E636" si="633">AVERAGE(B636:B638)</f>
        <v>21.76</v>
      </c>
      <c r="E636" s="4">
        <f t="shared" si="633"/>
        <v>0.53333333333333333</v>
      </c>
    </row>
    <row r="637" spans="1:5" ht="15" x14ac:dyDescent="0.25">
      <c r="A637" s="7" t="s">
        <v>666</v>
      </c>
      <c r="B637" s="8">
        <v>21.76</v>
      </c>
      <c r="C637" s="10">
        <v>0.54</v>
      </c>
      <c r="D637" s="4">
        <f t="shared" ref="D637:E637" si="634">AVERAGE(B637:B639)</f>
        <v>21.803333333333331</v>
      </c>
      <c r="E637" s="4">
        <f t="shared" si="634"/>
        <v>0.6166666666666667</v>
      </c>
    </row>
    <row r="638" spans="1:5" ht="15" x14ac:dyDescent="0.25">
      <c r="A638" s="7" t="s">
        <v>213</v>
      </c>
      <c r="B638" s="8">
        <v>21.81</v>
      </c>
      <c r="C638" s="10">
        <v>0.65</v>
      </c>
      <c r="D638" s="4">
        <f t="shared" ref="D638:E638" si="635">AVERAGE(B638:B640)</f>
        <v>21.843333333333334</v>
      </c>
      <c r="E638" s="4">
        <f t="shared" si="635"/>
        <v>0.70000000000000007</v>
      </c>
    </row>
    <row r="639" spans="1:5" ht="15" x14ac:dyDescent="0.25">
      <c r="A639" s="7" t="s">
        <v>667</v>
      </c>
      <c r="B639" s="8">
        <v>21.84</v>
      </c>
      <c r="C639" s="10">
        <v>0.66</v>
      </c>
      <c r="D639" s="4">
        <f t="shared" ref="D639:E639" si="636">AVERAGE(B639:B641)</f>
        <v>21.886666666666667</v>
      </c>
      <c r="E639" s="4">
        <f t="shared" si="636"/>
        <v>0.78333333333333333</v>
      </c>
    </row>
    <row r="640" spans="1:5" ht="15" x14ac:dyDescent="0.25">
      <c r="A640" s="7" t="s">
        <v>668</v>
      </c>
      <c r="B640" s="8">
        <v>21.88</v>
      </c>
      <c r="C640" s="10">
        <v>0.79</v>
      </c>
      <c r="D640" s="4">
        <f t="shared" ref="D640:E640" si="637">AVERAGE(B640:B642)</f>
        <v>21.926666666666666</v>
      </c>
      <c r="E640" s="4">
        <f t="shared" si="637"/>
        <v>0.8666666666666667</v>
      </c>
    </row>
    <row r="641" spans="1:5" ht="15" x14ac:dyDescent="0.25">
      <c r="A641" s="7" t="s">
        <v>214</v>
      </c>
      <c r="B641" s="8">
        <v>21.94</v>
      </c>
      <c r="C641" s="10">
        <v>0.9</v>
      </c>
      <c r="D641" s="4">
        <f t="shared" ref="D641:E641" si="638">AVERAGE(B641:B643)</f>
        <v>21.973333333333333</v>
      </c>
      <c r="E641" s="4">
        <f t="shared" si="638"/>
        <v>0.95000000000000007</v>
      </c>
    </row>
    <row r="642" spans="1:5" ht="15" x14ac:dyDescent="0.25">
      <c r="A642" s="7" t="s">
        <v>669</v>
      </c>
      <c r="B642" s="8">
        <v>21.96</v>
      </c>
      <c r="C642" s="10">
        <v>0.91</v>
      </c>
      <c r="D642" s="4">
        <f t="shared" ref="D642:E642" si="639">AVERAGE(B642:B644)</f>
        <v>22.02</v>
      </c>
      <c r="E642" s="4">
        <f t="shared" si="639"/>
        <v>1.0333333333333334</v>
      </c>
    </row>
    <row r="643" spans="1:5" ht="15" x14ac:dyDescent="0.25">
      <c r="A643" s="7" t="s">
        <v>670</v>
      </c>
      <c r="B643" s="8">
        <v>22.02</v>
      </c>
      <c r="C643" s="10">
        <v>1.04</v>
      </c>
      <c r="D643" s="4">
        <f t="shared" ref="D643:E643" si="640">AVERAGE(B643:B645)</f>
        <v>22.069999999999997</v>
      </c>
      <c r="E643" s="4">
        <f t="shared" si="640"/>
        <v>1.1166666666666665</v>
      </c>
    </row>
    <row r="644" spans="1:5" ht="15" x14ac:dyDescent="0.25">
      <c r="A644" s="7" t="s">
        <v>215</v>
      </c>
      <c r="B644" s="8">
        <v>22.08</v>
      </c>
      <c r="C644" s="10">
        <v>1.1499999999999999</v>
      </c>
      <c r="D644" s="4">
        <f t="shared" ref="D644:E644" si="641">AVERAGE(B644:B646)</f>
        <v>22.123333333333335</v>
      </c>
      <c r="E644" s="4">
        <f t="shared" si="641"/>
        <v>1.1533333333333331</v>
      </c>
    </row>
    <row r="645" spans="1:5" ht="15" x14ac:dyDescent="0.25">
      <c r="A645" s="7" t="s">
        <v>671</v>
      </c>
      <c r="B645" s="8">
        <v>22.11</v>
      </c>
      <c r="C645" s="10">
        <v>1.1599999999999999</v>
      </c>
      <c r="D645" s="4">
        <f t="shared" ref="D645:E645" si="642">AVERAGE(B645:B647)</f>
        <v>22.156666666666666</v>
      </c>
      <c r="E645" s="4">
        <f t="shared" si="642"/>
        <v>1.1533333333333331</v>
      </c>
    </row>
    <row r="646" spans="1:5" ht="15" x14ac:dyDescent="0.25">
      <c r="A646" s="7" t="s">
        <v>672</v>
      </c>
      <c r="B646" s="8">
        <v>22.18</v>
      </c>
      <c r="C646" s="10">
        <v>1.1499999999999999</v>
      </c>
      <c r="D646" s="4">
        <f t="shared" ref="D646:E646" si="643">AVERAGE(B646:B648)</f>
        <v>22.193333333333332</v>
      </c>
      <c r="E646" s="4">
        <f t="shared" si="643"/>
        <v>1.1533333333333333</v>
      </c>
    </row>
    <row r="647" spans="1:5" ht="15" x14ac:dyDescent="0.25">
      <c r="A647" s="7" t="s">
        <v>216</v>
      </c>
      <c r="B647" s="8">
        <v>22.18</v>
      </c>
      <c r="C647" s="10">
        <v>1.1499999999999999</v>
      </c>
      <c r="D647" s="4">
        <f t="shared" ref="D647:E647" si="644">AVERAGE(B647:B649)</f>
        <v>22.233333333333334</v>
      </c>
      <c r="E647" s="4">
        <f t="shared" si="644"/>
        <v>1.2033333333333331</v>
      </c>
    </row>
    <row r="648" spans="1:5" ht="15" x14ac:dyDescent="0.25">
      <c r="A648" s="7" t="s">
        <v>673</v>
      </c>
      <c r="B648" s="8">
        <v>22.22</v>
      </c>
      <c r="C648" s="10">
        <v>1.1599999999999999</v>
      </c>
      <c r="D648" s="4">
        <f t="shared" ref="D648:E648" si="645">AVERAGE(B648:B650)</f>
        <v>22.299999999999997</v>
      </c>
      <c r="E648" s="4">
        <f t="shared" si="645"/>
        <v>1.29</v>
      </c>
    </row>
    <row r="649" spans="1:5" ht="15" x14ac:dyDescent="0.25">
      <c r="A649" s="7" t="s">
        <v>674</v>
      </c>
      <c r="B649" s="8">
        <v>22.3</v>
      </c>
      <c r="C649" s="10">
        <v>1.3</v>
      </c>
      <c r="D649" s="4">
        <f t="shared" ref="D649:E649" si="646">AVERAGE(B649:B651)</f>
        <v>22.366666666666664</v>
      </c>
      <c r="E649" s="4">
        <f t="shared" si="646"/>
        <v>1.3766666666666667</v>
      </c>
    </row>
    <row r="650" spans="1:5" ht="15" x14ac:dyDescent="0.25">
      <c r="A650" s="7" t="s">
        <v>217</v>
      </c>
      <c r="B650" s="8">
        <v>22.38</v>
      </c>
      <c r="C650" s="10">
        <v>1.41</v>
      </c>
      <c r="D650" s="4">
        <f t="shared" ref="D650:E650" si="647">AVERAGE(B650:B652)</f>
        <v>22.433333333333334</v>
      </c>
      <c r="E650" s="4">
        <f t="shared" si="647"/>
        <v>1.4466666666666665</v>
      </c>
    </row>
    <row r="651" spans="1:5" ht="15" x14ac:dyDescent="0.25">
      <c r="A651" s="7" t="s">
        <v>675</v>
      </c>
      <c r="B651" s="8">
        <v>22.42</v>
      </c>
      <c r="C651" s="10">
        <v>1.42</v>
      </c>
      <c r="D651" s="4">
        <f t="shared" ref="D651:E651" si="648">AVERAGE(B651:B653)</f>
        <v>22.486666666666668</v>
      </c>
      <c r="E651" s="4">
        <f t="shared" si="648"/>
        <v>1.5399999999999998</v>
      </c>
    </row>
    <row r="652" spans="1:5" ht="15" x14ac:dyDescent="0.25">
      <c r="A652" s="7" t="s">
        <v>676</v>
      </c>
      <c r="B652" s="8">
        <v>22.5</v>
      </c>
      <c r="C652" s="10">
        <v>1.51</v>
      </c>
      <c r="D652" s="4">
        <f t="shared" ref="D652:E652" si="649">AVERAGE(B652:B654)</f>
        <v>22.543333333333333</v>
      </c>
      <c r="E652" s="4">
        <f t="shared" si="649"/>
        <v>1.6333333333333335</v>
      </c>
    </row>
    <row r="653" spans="1:5" ht="15" x14ac:dyDescent="0.25">
      <c r="A653" s="7" t="s">
        <v>218</v>
      </c>
      <c r="B653" s="8">
        <v>22.54</v>
      </c>
      <c r="C653" s="10">
        <v>1.69</v>
      </c>
      <c r="D653" s="4">
        <f t="shared" ref="D653:E653" si="650">AVERAGE(B653:B655)</f>
        <v>22.596666666666664</v>
      </c>
      <c r="E653" s="4">
        <f t="shared" si="650"/>
        <v>1.7366666666666666</v>
      </c>
    </row>
    <row r="654" spans="1:5" ht="15" x14ac:dyDescent="0.25">
      <c r="A654" s="7" t="s">
        <v>677</v>
      </c>
      <c r="B654" s="8">
        <v>22.59</v>
      </c>
      <c r="C654" s="10">
        <v>1.7</v>
      </c>
      <c r="D654" s="4">
        <f t="shared" ref="D654:E654" si="651">AVERAGE(B654:B656)</f>
        <v>22.650000000000002</v>
      </c>
      <c r="E654" s="4">
        <f t="shared" si="651"/>
        <v>1.8099999999999998</v>
      </c>
    </row>
    <row r="655" spans="1:5" ht="15" x14ac:dyDescent="0.25">
      <c r="A655" s="7" t="s">
        <v>678</v>
      </c>
      <c r="B655" s="8">
        <v>22.66</v>
      </c>
      <c r="C655" s="10">
        <v>1.82</v>
      </c>
      <c r="D655" s="4">
        <f t="shared" ref="D655:E655" si="652">AVERAGE(B655:B657)</f>
        <v>22.709999999999997</v>
      </c>
      <c r="E655" s="4">
        <f t="shared" si="652"/>
        <v>1.88</v>
      </c>
    </row>
    <row r="656" spans="1:5" ht="15" x14ac:dyDescent="0.25">
      <c r="A656" s="7" t="s">
        <v>219</v>
      </c>
      <c r="B656" s="8">
        <v>22.7</v>
      </c>
      <c r="C656" s="10">
        <v>1.91</v>
      </c>
      <c r="D656" s="4">
        <f t="shared" ref="D656:E656" si="653">AVERAGE(B656:B658)</f>
        <v>22.77</v>
      </c>
      <c r="E656" s="4">
        <f t="shared" si="653"/>
        <v>1.9233333333333331</v>
      </c>
    </row>
    <row r="657" spans="1:5" ht="15" x14ac:dyDescent="0.25">
      <c r="A657" s="7" t="s">
        <v>679</v>
      </c>
      <c r="B657" s="8">
        <v>22.77</v>
      </c>
      <c r="C657" s="10">
        <v>1.91</v>
      </c>
      <c r="D657" s="4">
        <f t="shared" ref="D657:E657" si="654">AVERAGE(B657:B659)</f>
        <v>22.836666666666662</v>
      </c>
      <c r="E657" s="4">
        <f t="shared" si="654"/>
        <v>2.0166666666666666</v>
      </c>
    </row>
    <row r="658" spans="1:5" ht="15" x14ac:dyDescent="0.25">
      <c r="A658" s="7" t="s">
        <v>680</v>
      </c>
      <c r="B658" s="8">
        <v>22.84</v>
      </c>
      <c r="C658" s="10">
        <v>1.95</v>
      </c>
      <c r="D658" s="4">
        <f t="shared" ref="D658:E658" si="655">AVERAGE(B658:B660)</f>
        <v>22.91333333333333</v>
      </c>
      <c r="E658" s="4">
        <f t="shared" si="655"/>
        <v>2.1133333333333333</v>
      </c>
    </row>
    <row r="659" spans="1:5" ht="15" x14ac:dyDescent="0.25">
      <c r="A659" s="7" t="s">
        <v>220</v>
      </c>
      <c r="B659" s="8">
        <v>22.9</v>
      </c>
      <c r="C659" s="10">
        <v>2.19</v>
      </c>
      <c r="D659" s="4">
        <f t="shared" ref="D659:E659" si="656">AVERAGE(B659:B661)</f>
        <v>23.00333333333333</v>
      </c>
      <c r="E659" s="4">
        <f t="shared" si="656"/>
        <v>2.2200000000000002</v>
      </c>
    </row>
    <row r="660" spans="1:5" ht="15" x14ac:dyDescent="0.25">
      <c r="A660" s="7" t="s">
        <v>681</v>
      </c>
      <c r="B660" s="8">
        <v>23</v>
      </c>
      <c r="C660" s="10">
        <v>2.2000000000000002</v>
      </c>
      <c r="D660" s="4">
        <f t="shared" ref="D660:E660" si="657">AVERAGE(B660:B662)</f>
        <v>23.086666666666662</v>
      </c>
      <c r="E660" s="4">
        <f t="shared" si="657"/>
        <v>2.2900000000000005</v>
      </c>
    </row>
    <row r="661" spans="1:5" ht="15" x14ac:dyDescent="0.25">
      <c r="A661" s="7" t="s">
        <v>682</v>
      </c>
      <c r="B661" s="8">
        <v>23.11</v>
      </c>
      <c r="C661" s="10">
        <v>2.27</v>
      </c>
      <c r="D661" s="4">
        <f t="shared" ref="D661:E661" si="658">AVERAGE(B661:B663)</f>
        <v>23.159999999999997</v>
      </c>
      <c r="E661" s="4">
        <f t="shared" si="658"/>
        <v>2.3566666666666669</v>
      </c>
    </row>
    <row r="662" spans="1:5" ht="15" x14ac:dyDescent="0.25">
      <c r="A662" s="7" t="s">
        <v>221</v>
      </c>
      <c r="B662" s="8">
        <v>23.15</v>
      </c>
      <c r="C662" s="10">
        <v>2.4</v>
      </c>
      <c r="D662" s="4">
        <f t="shared" ref="D662:E662" si="659">AVERAGE(B662:B664)</f>
        <v>23.226666666666663</v>
      </c>
      <c r="E662" s="4">
        <f t="shared" si="659"/>
        <v>2.4033333333333333</v>
      </c>
    </row>
    <row r="663" spans="1:5" ht="15" x14ac:dyDescent="0.25">
      <c r="A663" s="7" t="s">
        <v>683</v>
      </c>
      <c r="B663" s="8">
        <v>23.22</v>
      </c>
      <c r="C663" s="10">
        <v>2.4</v>
      </c>
      <c r="D663" s="4">
        <f t="shared" ref="D663:E663" si="660">AVERAGE(B663:B665)</f>
        <v>23.283333333333331</v>
      </c>
      <c r="E663" s="4">
        <f t="shared" si="660"/>
        <v>2.41</v>
      </c>
    </row>
    <row r="664" spans="1:5" ht="15" x14ac:dyDescent="0.25">
      <c r="A664" s="7" t="s">
        <v>684</v>
      </c>
      <c r="B664" s="8">
        <v>23.31</v>
      </c>
      <c r="C664" s="10">
        <v>2.41</v>
      </c>
      <c r="D664" s="4">
        <f t="shared" ref="D664:E664" si="661">AVERAGE(B664:B666)</f>
        <v>23.343333333333334</v>
      </c>
      <c r="E664" s="4">
        <f t="shared" si="661"/>
        <v>2.4066666666666667</v>
      </c>
    </row>
    <row r="665" spans="1:5" ht="15" x14ac:dyDescent="0.25">
      <c r="A665" s="7" t="s">
        <v>222</v>
      </c>
      <c r="B665" s="8">
        <v>23.32</v>
      </c>
      <c r="C665" s="10">
        <v>2.42</v>
      </c>
      <c r="D665" s="4">
        <f t="shared" ref="D665:E665" si="662">AVERAGE(B665:B667)</f>
        <v>23.39</v>
      </c>
      <c r="E665" s="4">
        <f t="shared" si="662"/>
        <v>2.3966666666666669</v>
      </c>
    </row>
    <row r="666" spans="1:5" ht="15" x14ac:dyDescent="0.25">
      <c r="A666" s="7" t="s">
        <v>685</v>
      </c>
      <c r="B666" s="8">
        <v>23.4</v>
      </c>
      <c r="C666" s="10">
        <v>2.39</v>
      </c>
      <c r="D666" s="4">
        <f t="shared" ref="D666:E666" si="663">AVERAGE(B666:B668)</f>
        <v>23.459999999999997</v>
      </c>
      <c r="E666" s="4">
        <f t="shared" si="663"/>
        <v>2.39</v>
      </c>
    </row>
    <row r="667" spans="1:5" ht="15" x14ac:dyDescent="0.25">
      <c r="A667" s="7" t="s">
        <v>686</v>
      </c>
      <c r="B667" s="8">
        <v>23.45</v>
      </c>
      <c r="C667" s="10">
        <v>2.38</v>
      </c>
      <c r="D667" s="4">
        <f t="shared" ref="D667:E667" si="664">AVERAGE(B667:B669)</f>
        <v>23.533333333333335</v>
      </c>
      <c r="E667" s="4">
        <f t="shared" si="664"/>
        <v>2.3033333333333332</v>
      </c>
    </row>
    <row r="668" spans="1:5" ht="15" x14ac:dyDescent="0.25">
      <c r="A668" s="7" t="s">
        <v>223</v>
      </c>
      <c r="B668" s="8">
        <v>23.53</v>
      </c>
      <c r="C668" s="10">
        <v>2.4</v>
      </c>
      <c r="D668" s="4">
        <f t="shared" ref="D668:E668" si="665">AVERAGE(B668:B670)</f>
        <v>23.606666666666669</v>
      </c>
      <c r="E668" s="4">
        <f t="shared" si="665"/>
        <v>2.19</v>
      </c>
    </row>
    <row r="669" spans="1:5" ht="15" x14ac:dyDescent="0.25">
      <c r="A669" s="7" t="s">
        <v>687</v>
      </c>
      <c r="B669" s="8">
        <v>23.62</v>
      </c>
      <c r="C669" s="10">
        <v>2.13</v>
      </c>
      <c r="D669" s="4">
        <f t="shared" ref="D669:E669" si="666">AVERAGE(B669:B671)</f>
        <v>23.680000000000003</v>
      </c>
      <c r="E669" s="4">
        <f t="shared" si="666"/>
        <v>2</v>
      </c>
    </row>
    <row r="670" spans="1:5" ht="15" x14ac:dyDescent="0.25">
      <c r="A670" s="7" t="s">
        <v>688</v>
      </c>
      <c r="B670" s="8">
        <v>23.67</v>
      </c>
      <c r="C670" s="10">
        <v>2.04</v>
      </c>
      <c r="D670" s="4">
        <f t="shared" ref="D670:E670" si="667">AVERAGE(B670:B672)</f>
        <v>23.75</v>
      </c>
      <c r="E670" s="4">
        <f t="shared" si="667"/>
        <v>1.8066666666666666</v>
      </c>
    </row>
    <row r="671" spans="1:5" ht="15" x14ac:dyDescent="0.25">
      <c r="A671" s="7" t="s">
        <v>224</v>
      </c>
      <c r="B671" s="8">
        <v>23.75</v>
      </c>
      <c r="C671" s="10">
        <v>1.83</v>
      </c>
      <c r="D671" s="4">
        <f t="shared" ref="D671:E671" si="668">AVERAGE(B671:B673)</f>
        <v>23.806666666666668</v>
      </c>
      <c r="E671" s="4">
        <f t="shared" si="668"/>
        <v>1.6433333333333333</v>
      </c>
    </row>
    <row r="672" spans="1:5" ht="15" x14ac:dyDescent="0.25">
      <c r="A672" s="7" t="s">
        <v>689</v>
      </c>
      <c r="B672" s="8">
        <v>23.83</v>
      </c>
      <c r="C672" s="10">
        <v>1.55</v>
      </c>
      <c r="D672" s="4">
        <f t="shared" ref="D672:E672" si="669">AVERAGE(B672:B674)</f>
        <v>23.86</v>
      </c>
      <c r="E672" s="4">
        <f t="shared" si="669"/>
        <v>1.55</v>
      </c>
    </row>
    <row r="673" spans="1:5" ht="15" x14ac:dyDescent="0.25">
      <c r="A673" s="7" t="s">
        <v>690</v>
      </c>
      <c r="B673" s="8">
        <v>23.84</v>
      </c>
      <c r="C673" s="10">
        <v>1.55</v>
      </c>
      <c r="D673" s="4">
        <f t="shared" ref="D673:E673" si="670">AVERAGE(B673:B675)</f>
        <v>23.926666666666666</v>
      </c>
      <c r="E673" s="4">
        <f t="shared" si="670"/>
        <v>1.5599999999999998</v>
      </c>
    </row>
    <row r="674" spans="1:5" ht="15" x14ac:dyDescent="0.25">
      <c r="A674" s="7" t="s">
        <v>225</v>
      </c>
      <c r="B674" s="8">
        <v>23.91</v>
      </c>
      <c r="C674" s="10">
        <v>1.55</v>
      </c>
      <c r="D674" s="4">
        <f t="shared" ref="D674:E674" si="671">AVERAGE(B674:B676)</f>
        <v>24.046666666666667</v>
      </c>
      <c r="E674" s="4">
        <f t="shared" si="671"/>
        <v>1.26</v>
      </c>
    </row>
    <row r="675" spans="1:5" ht="15" x14ac:dyDescent="0.25">
      <c r="A675" s="7" t="s">
        <v>691</v>
      </c>
      <c r="B675" s="8">
        <v>24.03</v>
      </c>
      <c r="C675" s="10">
        <v>1.58</v>
      </c>
      <c r="D675" s="4">
        <f t="shared" ref="D675:E675" si="672">AVERAGE(B675:B677)</f>
        <v>24.456666666666667</v>
      </c>
      <c r="E675" s="4">
        <f t="shared" si="672"/>
        <v>0.7599999999999999</v>
      </c>
    </row>
    <row r="676" spans="1:5" ht="15" x14ac:dyDescent="0.25">
      <c r="A676" s="7" t="s">
        <v>692</v>
      </c>
      <c r="B676" s="8">
        <v>24.2</v>
      </c>
      <c r="C676" s="10">
        <v>0.65</v>
      </c>
      <c r="D676" s="4">
        <f t="shared" ref="D676:E676" si="673">AVERAGE(B676:B678)</f>
        <v>24.773333333333337</v>
      </c>
      <c r="E676" s="4">
        <f t="shared" si="673"/>
        <v>0.25000000000000006</v>
      </c>
    </row>
    <row r="677" spans="1:5" ht="15" x14ac:dyDescent="0.25">
      <c r="A677" s="7" t="s">
        <v>226</v>
      </c>
      <c r="B677" s="8">
        <v>25.14</v>
      </c>
      <c r="C677" s="10">
        <v>0.05</v>
      </c>
      <c r="D677" s="4">
        <f t="shared" ref="D677:E677" si="674">AVERAGE(B677:B679)</f>
        <v>24.966666666666669</v>
      </c>
      <c r="E677" s="4">
        <f t="shared" si="674"/>
        <v>0.06</v>
      </c>
    </row>
    <row r="678" spans="1:5" ht="15" x14ac:dyDescent="0.25">
      <c r="A678" s="7" t="s">
        <v>693</v>
      </c>
      <c r="B678" s="8">
        <v>24.98</v>
      </c>
      <c r="C678" s="10">
        <v>0.05</v>
      </c>
      <c r="D678" s="4">
        <f t="shared" ref="D678:E678" si="675">AVERAGE(B678:B680)</f>
        <v>24.810000000000002</v>
      </c>
      <c r="E678" s="4">
        <f t="shared" si="675"/>
        <v>7.3333333333333334E-2</v>
      </c>
    </row>
    <row r="679" spans="1:5" ht="15" x14ac:dyDescent="0.25">
      <c r="A679" s="7" t="s">
        <v>694</v>
      </c>
      <c r="B679" s="8">
        <v>24.78</v>
      </c>
      <c r="C679" s="10">
        <v>0.08</v>
      </c>
      <c r="D679" s="4">
        <f t="shared" ref="D679:E679" si="676">AVERAGE(B679:B681)</f>
        <v>24.753333333333334</v>
      </c>
      <c r="E679" s="4">
        <f t="shared" si="676"/>
        <v>9.0000000000000011E-2</v>
      </c>
    </row>
    <row r="680" spans="1:5" ht="15" x14ac:dyDescent="0.25">
      <c r="A680" s="7" t="s">
        <v>227</v>
      </c>
      <c r="B680" s="8">
        <v>24.67</v>
      </c>
      <c r="C680" s="10">
        <v>0.09</v>
      </c>
      <c r="D680" s="4">
        <f t="shared" ref="D680:E680" si="677">AVERAGE(B680:B682)</f>
        <v>24.76</v>
      </c>
      <c r="E680" s="4">
        <f t="shared" si="677"/>
        <v>9.3333333333333338E-2</v>
      </c>
    </row>
    <row r="681" spans="1:5" ht="15" x14ac:dyDescent="0.25">
      <c r="A681" s="7" t="s">
        <v>695</v>
      </c>
      <c r="B681" s="8">
        <v>24.81</v>
      </c>
      <c r="C681" s="10">
        <v>0.1</v>
      </c>
      <c r="D681" s="4">
        <f t="shared" ref="D681:E681" si="678">AVERAGE(B681:B683)</f>
        <v>24.816666666666666</v>
      </c>
      <c r="E681" s="4">
        <f t="shared" si="678"/>
        <v>9.3333333333333338E-2</v>
      </c>
    </row>
    <row r="682" spans="1:5" ht="15" x14ac:dyDescent="0.25">
      <c r="A682" s="7" t="s">
        <v>696</v>
      </c>
      <c r="B682" s="8">
        <v>24.8</v>
      </c>
      <c r="C682" s="10">
        <v>0.09</v>
      </c>
      <c r="D682" s="4">
        <f t="shared" ref="D682:E682" si="679">AVERAGE(B682:B684)</f>
        <v>24.86</v>
      </c>
      <c r="E682" s="4">
        <f t="shared" si="679"/>
        <v>9.0000000000000011E-2</v>
      </c>
    </row>
    <row r="683" spans="1:5" ht="15" x14ac:dyDescent="0.25">
      <c r="A683" s="7" t="s">
        <v>228</v>
      </c>
      <c r="B683" s="8">
        <v>24.84</v>
      </c>
      <c r="C683" s="10">
        <v>0.09</v>
      </c>
      <c r="D683" s="4">
        <f t="shared" ref="D683:E683" si="680">AVERAGE(B683:B685)</f>
        <v>24.98</v>
      </c>
      <c r="E683" s="4">
        <f t="shared" si="680"/>
        <v>9.0000000000000011E-2</v>
      </c>
    </row>
    <row r="684" spans="1:5" ht="15" x14ac:dyDescent="0.25">
      <c r="A684" s="7" t="s">
        <v>697</v>
      </c>
      <c r="B684" s="8">
        <v>24.94</v>
      </c>
      <c r="C684" s="10">
        <v>0.09</v>
      </c>
      <c r="D684" s="4">
        <f t="shared" ref="D684:E684" si="681">AVERAGE(B684:B686)</f>
        <v>25.090000000000003</v>
      </c>
      <c r="E684" s="4">
        <f t="shared" si="681"/>
        <v>9.0000000000000011E-2</v>
      </c>
    </row>
    <row r="685" spans="1:5" ht="15" x14ac:dyDescent="0.25">
      <c r="A685" s="7" t="s">
        <v>698</v>
      </c>
      <c r="B685" s="8">
        <v>25.16</v>
      </c>
      <c r="C685" s="10">
        <v>0.09</v>
      </c>
      <c r="D685" s="4">
        <f t="shared" ref="D685:E685" si="682">AVERAGE(B685:B687)</f>
        <v>25.196666666666669</v>
      </c>
      <c r="E685" s="4">
        <f t="shared" si="682"/>
        <v>8.666666666666667E-2</v>
      </c>
    </row>
    <row r="686" spans="1:5" ht="15" x14ac:dyDescent="0.25">
      <c r="A686" s="7" t="s">
        <v>229</v>
      </c>
      <c r="B686" s="8">
        <v>25.17</v>
      </c>
      <c r="C686" s="10">
        <v>0.09</v>
      </c>
      <c r="D686" s="4">
        <f t="shared" ref="D686:E686" si="683">AVERAGE(B686:B688)</f>
        <v>25.26</v>
      </c>
      <c r="E686" s="4">
        <f t="shared" si="683"/>
        <v>0.08</v>
      </c>
    </row>
    <row r="687" spans="1:5" ht="15" x14ac:dyDescent="0.25">
      <c r="A687" s="7" t="s">
        <v>699</v>
      </c>
      <c r="B687" s="8">
        <v>25.26</v>
      </c>
      <c r="C687" s="10">
        <v>0.08</v>
      </c>
      <c r="D687" s="4">
        <f t="shared" ref="D687:E687" si="684">AVERAGE(B687:B689)</f>
        <v>25.373333333333335</v>
      </c>
      <c r="E687" s="4">
        <f t="shared" si="684"/>
        <v>7.3333333333333348E-2</v>
      </c>
    </row>
    <row r="688" spans="1:5" ht="15" x14ac:dyDescent="0.25">
      <c r="A688" s="7" t="s">
        <v>700</v>
      </c>
      <c r="B688" s="8">
        <v>25.35</v>
      </c>
      <c r="C688" s="10">
        <v>7.0000000000000007E-2</v>
      </c>
      <c r="D688" s="4">
        <f t="shared" ref="D688:E688" si="685">AVERAGE(B688:B690)</f>
        <v>25.51</v>
      </c>
      <c r="E688" s="4">
        <f t="shared" si="685"/>
        <v>6.6666666666666666E-2</v>
      </c>
    </row>
    <row r="689" spans="1:5" ht="15" x14ac:dyDescent="0.25">
      <c r="A689" s="7" t="s">
        <v>230</v>
      </c>
      <c r="B689" s="8">
        <v>25.51</v>
      </c>
      <c r="C689" s="10">
        <v>7.0000000000000007E-2</v>
      </c>
      <c r="D689" s="4">
        <f t="shared" ref="D689:E689" si="686">AVERAGE(B689:B691)</f>
        <v>25.663333333333338</v>
      </c>
      <c r="E689" s="4">
        <f t="shared" si="686"/>
        <v>7.0000000000000007E-2</v>
      </c>
    </row>
    <row r="690" spans="1:5" ht="15" x14ac:dyDescent="0.25">
      <c r="A690" s="7" t="s">
        <v>701</v>
      </c>
      <c r="B690" s="8">
        <v>25.67</v>
      </c>
      <c r="C690" s="10">
        <v>0.06</v>
      </c>
      <c r="D690" s="4">
        <f t="shared" ref="D690:E690" si="687">AVERAGE(B690:B692)</f>
        <v>25.806666666666668</v>
      </c>
      <c r="E690" s="4">
        <f t="shared" si="687"/>
        <v>0.08</v>
      </c>
    </row>
    <row r="691" spans="1:5" ht="15" x14ac:dyDescent="0.25">
      <c r="A691" s="7" t="s">
        <v>702</v>
      </c>
      <c r="B691" s="8">
        <v>25.81</v>
      </c>
      <c r="C691" s="10">
        <v>0.08</v>
      </c>
      <c r="D691" s="4">
        <f t="shared" ref="D691:E691" si="688">AVERAGE(B691:B693)</f>
        <v>25.956666666666667</v>
      </c>
      <c r="E691" s="4">
        <f t="shared" si="688"/>
        <v>9.0000000000000011E-2</v>
      </c>
    </row>
    <row r="692" spans="1:5" ht="15" x14ac:dyDescent="0.25">
      <c r="A692" s="7" t="s">
        <v>231</v>
      </c>
      <c r="B692" s="8">
        <v>25.94</v>
      </c>
      <c r="C692" s="10">
        <v>0.1</v>
      </c>
      <c r="D692" s="4">
        <f t="shared" ref="D692:E692" si="689">AVERAGE(B692:B694)</f>
        <v>26.116666666666664</v>
      </c>
      <c r="E692" s="4">
        <f t="shared" si="689"/>
        <v>9.0000000000000011E-2</v>
      </c>
    </row>
    <row r="693" spans="1:5" ht="15" x14ac:dyDescent="0.25">
      <c r="A693" s="7" t="s">
        <v>703</v>
      </c>
      <c r="B693" s="8">
        <v>26.12</v>
      </c>
      <c r="C693" s="10">
        <v>0.09</v>
      </c>
      <c r="D693" s="4">
        <f t="shared" ref="D693:E693" si="690">AVERAGE(B693:B695)</f>
        <v>26.283333333333331</v>
      </c>
      <c r="E693" s="4">
        <f t="shared" si="690"/>
        <v>8.3333333333333329E-2</v>
      </c>
    </row>
    <row r="694" spans="1:5" ht="15" x14ac:dyDescent="0.25">
      <c r="A694" s="7" t="s">
        <v>704</v>
      </c>
      <c r="B694" s="8">
        <v>26.29</v>
      </c>
      <c r="C694" s="10">
        <v>0.08</v>
      </c>
      <c r="D694" s="4">
        <f t="shared" ref="D694:E694" si="691">AVERAGE(B694:B696)</f>
        <v>26.433333333333337</v>
      </c>
      <c r="E694" s="4">
        <f t="shared" si="691"/>
        <v>0.08</v>
      </c>
    </row>
    <row r="695" spans="1:5" ht="15" x14ac:dyDescent="0.25">
      <c r="A695" s="7" t="s">
        <v>232</v>
      </c>
      <c r="B695" s="8">
        <v>26.44</v>
      </c>
      <c r="C695" s="10">
        <v>0.08</v>
      </c>
      <c r="D695" s="4">
        <f t="shared" ref="D695:E695" si="692">AVERAGE(B695:B697)</f>
        <v>26.590000000000003</v>
      </c>
      <c r="E695" s="4">
        <f t="shared" si="692"/>
        <v>0.08</v>
      </c>
    </row>
    <row r="696" spans="1:5" ht="15" x14ac:dyDescent="0.25">
      <c r="A696" s="7" t="s">
        <v>705</v>
      </c>
      <c r="B696" s="8">
        <v>26.57</v>
      </c>
      <c r="C696" s="10">
        <v>0.08</v>
      </c>
      <c r="D696" s="4">
        <f t="shared" ref="D696:E696" si="693">AVERAGE(B696:B698)</f>
        <v>26.736666666666665</v>
      </c>
      <c r="E696" s="4">
        <f t="shared" si="693"/>
        <v>0.08</v>
      </c>
    </row>
    <row r="697" spans="1:5" ht="15" x14ac:dyDescent="0.25">
      <c r="A697" s="7" t="s">
        <v>706</v>
      </c>
      <c r="B697" s="8">
        <v>26.76</v>
      </c>
      <c r="C697" s="10">
        <v>0.08</v>
      </c>
      <c r="D697" s="4">
        <f t="shared" ref="D697:E697" si="694">AVERAGE(B697:B699)</f>
        <v>26.873333333333335</v>
      </c>
      <c r="E697" s="4">
        <f t="shared" si="694"/>
        <v>0.08</v>
      </c>
    </row>
    <row r="698" spans="1:5" ht="15" x14ac:dyDescent="0.25">
      <c r="A698" s="7" t="s">
        <v>233</v>
      </c>
      <c r="B698" s="8">
        <v>26.88</v>
      </c>
      <c r="C698" s="10">
        <v>0.08</v>
      </c>
      <c r="D698" s="4">
        <f t="shared" ref="D698:E698" si="695">AVERAGE(B698:B700)</f>
        <v>26.993333333333336</v>
      </c>
      <c r="E698" s="4">
        <f t="shared" si="695"/>
        <v>0.12</v>
      </c>
    </row>
    <row r="699" spans="1:5" ht="15" x14ac:dyDescent="0.25">
      <c r="A699" s="7" t="s">
        <v>707</v>
      </c>
      <c r="B699" s="8">
        <v>26.98</v>
      </c>
      <c r="C699" s="10">
        <v>0.08</v>
      </c>
      <c r="D699" s="4">
        <f t="shared" ref="D699:E699" si="696">AVERAGE(B699:B701)</f>
        <v>27.123333333333335</v>
      </c>
      <c r="E699" s="4">
        <f t="shared" si="696"/>
        <v>0.20333333333333337</v>
      </c>
    </row>
    <row r="700" spans="1:5" ht="15" x14ac:dyDescent="0.25">
      <c r="A700" s="7" t="s">
        <v>708</v>
      </c>
      <c r="B700" s="8">
        <v>27.12</v>
      </c>
      <c r="C700" s="10">
        <v>0.2</v>
      </c>
      <c r="D700" s="4">
        <f t="shared" ref="D700:E700" si="697">AVERAGE(B700:B702)</f>
        <v>27.26</v>
      </c>
      <c r="E700" s="4">
        <f t="shared" si="697"/>
        <v>0.43333333333333335</v>
      </c>
    </row>
    <row r="701" spans="1:5" ht="15" x14ac:dyDescent="0.25">
      <c r="A701" s="7" t="s">
        <v>234</v>
      </c>
      <c r="B701" s="8">
        <v>27.27</v>
      </c>
      <c r="C701" s="10">
        <v>0.33</v>
      </c>
      <c r="D701" s="4">
        <f t="shared" ref="D701:E701" si="698">AVERAGE(B701:B703)</f>
        <v>27.396666666666665</v>
      </c>
      <c r="E701" s="4">
        <f t="shared" si="698"/>
        <v>0.77</v>
      </c>
    </row>
    <row r="702" spans="1:5" ht="15" x14ac:dyDescent="0.25">
      <c r="A702" s="7" t="s">
        <v>709</v>
      </c>
      <c r="B702" s="8">
        <v>27.39</v>
      </c>
      <c r="C702" s="10">
        <v>0.77</v>
      </c>
      <c r="D702" s="4">
        <f t="shared" ref="D702:E702" si="699">AVERAGE(B702:B704)</f>
        <v>27.52</v>
      </c>
      <c r="E702" s="4">
        <f t="shared" si="699"/>
        <v>1.22</v>
      </c>
    </row>
    <row r="703" spans="1:5" ht="15" x14ac:dyDescent="0.25">
      <c r="A703" s="7" t="s">
        <v>710</v>
      </c>
      <c r="B703" s="8">
        <v>27.53</v>
      </c>
      <c r="C703" s="10">
        <v>1.21</v>
      </c>
      <c r="D703" s="4">
        <f t="shared" ref="D703:E703" si="700">AVERAGE(B703:B705)</f>
        <v>27.64</v>
      </c>
      <c r="E703" s="4">
        <f t="shared" si="700"/>
        <v>1.74</v>
      </c>
    </row>
    <row r="704" spans="1:5" ht="15" x14ac:dyDescent="0.25">
      <c r="A704" s="7" t="s">
        <v>235</v>
      </c>
      <c r="B704" s="8">
        <v>27.64</v>
      </c>
      <c r="C704" s="10">
        <v>1.68</v>
      </c>
      <c r="D704" s="4">
        <f t="shared" ref="D704:E704" si="701">AVERAGE(B704:B706)</f>
        <v>27.74666666666667</v>
      </c>
      <c r="E704" s="4">
        <f t="shared" si="701"/>
        <v>2.19</v>
      </c>
    </row>
    <row r="705" spans="1:5" ht="15" x14ac:dyDescent="0.25">
      <c r="A705" s="7" t="s">
        <v>711</v>
      </c>
      <c r="B705" s="8">
        <v>27.75</v>
      </c>
      <c r="C705" s="10">
        <v>2.33</v>
      </c>
      <c r="D705" s="4">
        <f t="shared" ref="D705:E705" si="702">AVERAGE(B705:B707)</f>
        <v>27.853333333333335</v>
      </c>
      <c r="E705" s="4">
        <f t="shared" si="702"/>
        <v>2.6566666666666667</v>
      </c>
    </row>
    <row r="706" spans="1:5" ht="15" x14ac:dyDescent="0.25">
      <c r="A706" s="7" t="s">
        <v>712</v>
      </c>
      <c r="B706" s="8">
        <v>27.85</v>
      </c>
      <c r="C706" s="10">
        <v>2.56</v>
      </c>
      <c r="D706" s="4">
        <f t="shared" ref="D706:E706" si="703">AVERAGE(B706:B708)</f>
        <v>27.966666666666669</v>
      </c>
      <c r="E706" s="4">
        <f t="shared" si="703"/>
        <v>3.14</v>
      </c>
    </row>
    <row r="707" spans="1:5" ht="15" x14ac:dyDescent="0.25">
      <c r="A707" s="7" t="s">
        <v>236</v>
      </c>
      <c r="B707" s="8">
        <v>27.96</v>
      </c>
      <c r="C707" s="10">
        <v>3.08</v>
      </c>
      <c r="D707" s="4">
        <f t="shared" ref="D707:E707" si="704">AVERAGE(B707:B709)</f>
        <v>28.086666666666662</v>
      </c>
      <c r="E707" s="4">
        <f t="shared" si="704"/>
        <v>3.6533333333333329</v>
      </c>
    </row>
    <row r="708" spans="1:5" ht="15" x14ac:dyDescent="0.25">
      <c r="A708" s="7" t="s">
        <v>713</v>
      </c>
      <c r="B708" s="8">
        <v>28.09</v>
      </c>
      <c r="C708" s="10">
        <v>3.78</v>
      </c>
      <c r="D708" s="4">
        <f t="shared" ref="D708:E708" si="705">AVERAGE(B708:B710)</f>
        <v>28.196666666666669</v>
      </c>
      <c r="E708" s="4">
        <f t="shared" si="705"/>
        <v>4.0699999999999994</v>
      </c>
    </row>
    <row r="709" spans="1:5" ht="15" x14ac:dyDescent="0.25">
      <c r="A709" s="7" t="s">
        <v>714</v>
      </c>
      <c r="B709" s="8">
        <v>28.21</v>
      </c>
      <c r="C709" s="10">
        <v>4.0999999999999996</v>
      </c>
      <c r="D709" s="4">
        <f t="shared" ref="D709:E709" si="706">AVERAGE(B709:B711)</f>
        <v>28.303333333333331</v>
      </c>
      <c r="E709" s="4">
        <f t="shared" si="706"/>
        <v>4.333333333333333</v>
      </c>
    </row>
    <row r="710" spans="1:5" ht="15" x14ac:dyDescent="0.25">
      <c r="A710" s="7" t="s">
        <v>237</v>
      </c>
      <c r="B710" s="8">
        <v>28.29</v>
      </c>
      <c r="C710" s="10">
        <v>4.33</v>
      </c>
      <c r="D710" s="4">
        <f t="shared" ref="D710:E710" si="707">AVERAGE(B710:B712)</f>
        <v>28.406666666666666</v>
      </c>
      <c r="E710" s="4">
        <f t="shared" si="707"/>
        <v>4.5166666666666666</v>
      </c>
    </row>
    <row r="711" spans="1:5" ht="15" x14ac:dyDescent="0.25">
      <c r="A711" s="7" t="s">
        <v>715</v>
      </c>
      <c r="B711" s="8">
        <v>28.41</v>
      </c>
      <c r="C711" s="10">
        <v>4.57</v>
      </c>
      <c r="D711" s="4">
        <f t="shared" ref="D711:E711" si="708">AVERAGE(B711:B713)</f>
        <v>28.513333333333332</v>
      </c>
      <c r="E711" s="4">
        <f t="shared" si="708"/>
        <v>4.6833333333333336</v>
      </c>
    </row>
    <row r="712" spans="1:5" ht="15" x14ac:dyDescent="0.25">
      <c r="A712" s="7" t="s">
        <v>716</v>
      </c>
      <c r="B712" s="8">
        <v>28.52</v>
      </c>
      <c r="C712" s="10">
        <v>4.6500000000000004</v>
      </c>
      <c r="D712" s="4">
        <f t="shared" ref="D712:E712" si="709">AVERAGE(B712:B714)</f>
        <v>28.616666666666664</v>
      </c>
      <c r="E712" s="4">
        <f t="shared" si="709"/>
        <v>4.8466666666666667</v>
      </c>
    </row>
    <row r="713" spans="1:5" ht="15" x14ac:dyDescent="0.25">
      <c r="A713" s="7" t="s">
        <v>238</v>
      </c>
      <c r="B713" s="8">
        <v>28.61</v>
      </c>
      <c r="C713" s="10">
        <v>4.83</v>
      </c>
      <c r="D713" s="4">
        <f t="shared" ref="D713:E713" si="710">AVERAGE(B713:B715)</f>
        <v>28.716666666666669</v>
      </c>
      <c r="E713" s="4">
        <f t="shared" si="710"/>
        <v>4.99</v>
      </c>
    </row>
    <row r="714" spans="1:5" ht="15" x14ac:dyDescent="0.25">
      <c r="A714" s="7" t="s">
        <v>717</v>
      </c>
      <c r="B714" s="8">
        <v>28.72</v>
      </c>
      <c r="C714" s="10">
        <v>5.0599999999999996</v>
      </c>
      <c r="D714" s="4">
        <f t="shared" ref="D714:E714" si="711">AVERAGE(B714:B716)</f>
        <v>28.826666666666668</v>
      </c>
      <c r="E714" s="4">
        <f t="shared" si="711"/>
        <v>5.0866666666666669</v>
      </c>
    </row>
    <row r="715" spans="1:5" ht="15" x14ac:dyDescent="0.25">
      <c r="A715" s="7" t="s">
        <v>718</v>
      </c>
      <c r="B715" s="8">
        <v>28.82</v>
      </c>
      <c r="C715" s="10">
        <v>5.08</v>
      </c>
      <c r="D715" s="4">
        <f t="shared" ref="D715:E715" si="712">AVERAGE(B715:B717)</f>
        <v>28.92</v>
      </c>
      <c r="E715" s="4">
        <f t="shared" si="712"/>
        <v>5.1766666666666667</v>
      </c>
    </row>
    <row r="716" spans="1:5" ht="15" x14ac:dyDescent="0.25">
      <c r="A716" s="7" t="s">
        <v>239</v>
      </c>
      <c r="B716" s="8">
        <v>28.94</v>
      </c>
      <c r="C716" s="10">
        <v>5.12</v>
      </c>
      <c r="D716" s="4">
        <f t="shared" ref="D716:E716" si="713">AVERAGE(B716:B718)</f>
        <v>29.006666666666664</v>
      </c>
      <c r="E716" s="4">
        <f t="shared" si="713"/>
        <v>5.26</v>
      </c>
    </row>
    <row r="717" spans="1:5" ht="15" x14ac:dyDescent="0.25">
      <c r="A717" s="7" t="s">
        <v>719</v>
      </c>
      <c r="B717" s="8">
        <v>29</v>
      </c>
      <c r="C717" s="10">
        <v>5.33</v>
      </c>
      <c r="D717" s="4">
        <f t="shared" ref="D717:E717" si="714">AVERAGE(B717:B719)</f>
        <v>29.09</v>
      </c>
      <c r="E717" s="4">
        <f t="shared" si="714"/>
        <v>5.33</v>
      </c>
    </row>
    <row r="718" spans="1:5" ht="15" x14ac:dyDescent="0.25">
      <c r="A718" s="7" t="s">
        <v>720</v>
      </c>
      <c r="B718" s="8">
        <v>29.08</v>
      </c>
      <c r="C718" s="10">
        <v>5.33</v>
      </c>
      <c r="D718" s="4">
        <f t="shared" ref="D718:E718" si="715">AVERAGE(B718:B720)</f>
        <v>29.196666666666669</v>
      </c>
      <c r="E718" s="4">
        <f t="shared" si="715"/>
        <v>5.33</v>
      </c>
    </row>
    <row r="719" spans="1:5" ht="15" x14ac:dyDescent="0.25">
      <c r="A719" s="7" t="s">
        <v>721</v>
      </c>
      <c r="B719" s="8">
        <v>29.19</v>
      </c>
      <c r="C719" s="10">
        <v>5.33</v>
      </c>
      <c r="D719" s="4">
        <f t="shared" ref="D719:E719" si="716">AVERAGE(B719:B721)</f>
        <v>29.310000000000002</v>
      </c>
      <c r="E719" s="4">
        <f t="shared" si="716"/>
        <v>5.33</v>
      </c>
    </row>
    <row r="720" spans="1:5" ht="15" x14ac:dyDescent="0.25">
      <c r="A720" s="7" t="s">
        <v>722</v>
      </c>
      <c r="B720" s="8">
        <v>29.32</v>
      </c>
      <c r="C720" s="10">
        <v>5.33</v>
      </c>
      <c r="D720" s="4">
        <f t="shared" ref="D720:E720" si="717">AVERAGE(B720:B722)</f>
        <v>29.37</v>
      </c>
      <c r="E720" s="4">
        <f t="shared" si="717"/>
        <v>5.33</v>
      </c>
    </row>
    <row r="721" spans="1:5" ht="15" x14ac:dyDescent="0.25">
      <c r="A721" s="7" t="s">
        <v>723</v>
      </c>
      <c r="B721" s="8">
        <v>29.42</v>
      </c>
      <c r="C721" s="10">
        <v>5.33</v>
      </c>
      <c r="D721" s="4">
        <f t="shared" ref="D721:E721" si="718">AVERAGE(B721:B723)</f>
        <v>29.42</v>
      </c>
      <c r="E721" s="4">
        <f t="shared" si="718"/>
        <v>5.33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2</vt:i4>
      </vt:variant>
    </vt:vector>
  </HeadingPairs>
  <TitlesOfParts>
    <vt:vector size="2" baseType="lpstr">
      <vt:lpstr>quarterly</vt:lpstr>
      <vt:lpstr>monthly</vt:lpstr>
    </vt:vector>
  </TitlesOfParts>
  <Company>Nord universitet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Pål Bergset Ulvedal</dc:creator>
  <cp:lastModifiedBy>Pål Bergset Ulvedal</cp:lastModifiedBy>
  <dcterms:created xsi:type="dcterms:W3CDTF">2025-01-07T13:54:40Z</dcterms:created>
  <dcterms:modified xsi:type="dcterms:W3CDTF">2025-01-08T08:36:03Z</dcterms:modified>
</cp:coreProperties>
</file>